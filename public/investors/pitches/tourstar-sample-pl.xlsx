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Assumptions" sheetId="2" state="visible" r:id="rId4"/>
    <sheet name="Annual" sheetId="3" state="visible" r:id="rId5"/>
    <sheet name="Monthl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<sst xmlns="http://schemas.openxmlformats.org/spreadsheetml/2006/main" count="224" uniqueCount="176">
  <si>
    <t xml:space="preserve">TourStar — Sample P&amp;L (36 months)</t>
  </si>
  <si>
    <t xml:space="preserve">Illustrative model for planning and investor conversations. Not a forecast or financial advice.</t>
  </si>
  <si>
    <t xml:space="preserve">How to use</t>
  </si>
  <si>
    <t xml:space="preserve">1. Go to the Assumptions tab and pick a scenario in the yellow cell (Low, Base or High).</t>
  </si>
  <si>
    <t xml:space="preserve">2. Every blue number on Assumptions is an input you can change; Monthly and Annual recalculate.</t>
  </si>
  <si>
    <t xml:space="preserve">3. Monthly has the month-by-month users, revenue and costs; Annual rolls it up by year.</t>
  </si>
  <si>
    <t xml:space="preserve">Color key</t>
  </si>
  <si>
    <t xml:space="preserve">Blue text = input you can change · Black = formula · Green = pulled from another tab · Yellow fill = scenario switch / key input</t>
  </si>
  <si>
    <t xml:space="preserve">How users are modeled</t>
  </si>
  <si>
    <t xml:space="preserve">Monthly active users (MAU) = this month's new installs + share of last month's new installs who come back + veteran players who stay.</t>
  </si>
  <si>
    <t xml:space="preserve">New installs = waitlist conversion at launch + organic + paid marketing (budget ÷ cost per install) + artist-partner launch bumps.</t>
  </si>
  <si>
    <t xml:space="preserve">Accounts (signups) = installs × account signup rate; VIP and spenders are shares of MAU.</t>
  </si>
  <si>
    <t xml:space="preserve">Benchmarks used as starting points (check before relying on them)</t>
  </si>
  <si>
    <t xml:space="preserve">Mobile game retention by genre (GameAnalytics 2026): gameindustrylibrary.com/documents/gameanalytics-mobile-retention-benchmarks-2026/read</t>
  </si>
  <si>
    <t xml:space="preserve">Mobile game KPIs 2026 (payer conversion, ARPDAU): appfollow.io/blog/mobile-game-kpis</t>
  </si>
  <si>
    <t xml:space="preserve">Mobile game CPI 2026: foxdata.com/en/blogs/2026-mobile-game-user-acquisition-cost-benchmarks-how-much-should-you-spend/</t>
  </si>
  <si>
    <t xml:space="preserve">App Store Small Business Program: 15% commission while under $1M/year in proceeds (30% above).</t>
  </si>
  <si>
    <t xml:space="preserve">RevenueCat: free up to $2.5K monthly tracked revenue, then about 1% of tracked revenue.</t>
  </si>
  <si>
    <t xml:space="preserve">Current waitlist: 1 signup (live database, Oct 30 2026) — the waitlist-at-launch numbers are targets, not actuals.</t>
  </si>
  <si>
    <t xml:space="preserve">Assumptions</t>
  </si>
  <si>
    <t xml:space="preserve">Scenario</t>
  </si>
  <si>
    <t xml:space="preserve">Base</t>
  </si>
  <si>
    <t xml:space="preserve">← pick Low, Base or High</t>
  </si>
  <si>
    <t xml:space="preserve">Launch month</t>
  </si>
  <si>
    <t xml:space="preserve">Month 1 of the model (App Store launch)</t>
  </si>
  <si>
    <t xml:space="preserve">Assumption</t>
  </si>
  <si>
    <t xml:space="preserve">Low</t>
  </si>
  <si>
    <t xml:space="preserve">High</t>
  </si>
  <si>
    <t xml:space="preserve">Active</t>
  </si>
  <si>
    <t xml:space="preserve">Unit</t>
  </si>
  <si>
    <t xml:space="preserve">Note / source</t>
  </si>
  <si>
    <t xml:space="preserve">Installs and signups</t>
  </si>
  <si>
    <t xml:space="preserve">Waitlist size at launch</t>
  </si>
  <si>
    <t xml:space="preserve">people</t>
  </si>
  <si>
    <t xml:space="preserve">Target to build before launch (today: 1)</t>
  </si>
  <si>
    <t xml:space="preserve">Waitlist → install at launch</t>
  </si>
  <si>
    <t xml:space="preserve">%</t>
  </si>
  <si>
    <t xml:space="preserve">Share of waitlist who install in month 1</t>
  </si>
  <si>
    <t xml:space="preserve">Organic installs, month 1</t>
  </si>
  <si>
    <t xml:space="preserve">installs</t>
  </si>
  <si>
    <t xml:space="preserve">App Store search, word of mouth, press</t>
  </si>
  <si>
    <t xml:space="preserve">Organic install growth per month</t>
  </si>
  <si>
    <t xml:space="preserve">Compounds monthly</t>
  </si>
  <si>
    <t xml:space="preserve">Paid marketing per month, Year 1</t>
  </si>
  <si>
    <t xml:space="preserve">$</t>
  </si>
  <si>
    <t xml:space="preserve">User acquisition budget</t>
  </si>
  <si>
    <t xml:space="preserve">Paid marketing per month, Year 2</t>
  </si>
  <si>
    <t xml:space="preserve">Paid marketing per month, Year 3</t>
  </si>
  <si>
    <t xml:space="preserve">Blended cost per install</t>
  </si>
  <si>
    <t xml:space="preserve">iOS US casual games; see Read Me</t>
  </si>
  <si>
    <t xml:space="preserve">Artist partner launch every N months</t>
  </si>
  <si>
    <t xml:space="preserve">months</t>
  </si>
  <si>
    <t xml:space="preserve">First launch in month 3</t>
  </si>
  <si>
    <t xml:space="preserve">Length of each artist partnership</t>
  </si>
  <si>
    <t xml:space="preserve">Licensing and giveaways stop when it ends</t>
  </si>
  <si>
    <t xml:space="preserve">Installs per artist partner launch</t>
  </si>
  <si>
    <t xml:space="preserve">Artist socials, presale and merch cross-promo</t>
  </si>
  <si>
    <t xml:space="preserve">Installs who create an account</t>
  </si>
  <si>
    <t xml:space="preserve">Apple sign-in / email; rest play as guests</t>
  </si>
  <si>
    <t xml:space="preserve">Retention</t>
  </si>
  <si>
    <t xml:space="preserve">New players still active the next month</t>
  </si>
  <si>
    <t xml:space="preserve">≈ day-30 retention</t>
  </si>
  <si>
    <t xml:space="preserve">Veteran players retained each month</t>
  </si>
  <si>
    <t xml:space="preserve">Players past their first month</t>
  </si>
  <si>
    <t xml:space="preserve">Monetization (gross, before store fees)</t>
  </si>
  <si>
    <t xml:space="preserve">VIP subscribers (share of MAU)</t>
  </si>
  <si>
    <t xml:space="preserve">$4.99/mo or $39.99/yr</t>
  </si>
  <si>
    <t xml:space="preserve">VIP blended revenue per subscriber</t>
  </si>
  <si>
    <t xml:space="preserve">$/mo</t>
  </si>
  <si>
    <t xml:space="preserve">Mix of monthly and yearly plans</t>
  </si>
  <si>
    <t xml:space="preserve">In-app spenders (share of MAU, excl. VIP)</t>
  </si>
  <si>
    <t xml:space="preserve">Gold Records, AI song packs, cash packs, artist packs</t>
  </si>
  <si>
    <t xml:space="preserve">Average spend per spender</t>
  </si>
  <si>
    <t xml:space="preserve">Share of in-app spend on artist packs</t>
  </si>
  <si>
    <t xml:space="preserve">Drives artist revenue share</t>
  </si>
  <si>
    <t xml:space="preserve">Merch orders (share of MAU per month)</t>
  </si>
  <si>
    <t xml:space="preserve">Shopify store, in-game unlocks</t>
  </si>
  <si>
    <t xml:space="preserve">Average merch order</t>
  </si>
  <si>
    <t xml:space="preserve">Brand &amp; venue sponsorships per month</t>
  </si>
  <si>
    <t xml:space="preserve">Starts month 7, grows 5%/month</t>
  </si>
  <si>
    <t xml:space="preserve">Costs</t>
  </si>
  <si>
    <t xml:space="preserve">App Store / Google Play fee</t>
  </si>
  <si>
    <t xml:space="preserve">Small Business Program rate under $1M/yr</t>
  </si>
  <si>
    <t xml:space="preserve">RevenueCat free tier (monthly revenue)</t>
  </si>
  <si>
    <t xml:space="preserve">RevenueCat fee above free tier</t>
  </si>
  <si>
    <t xml:space="preserve">Artist revenue share on artist packs</t>
  </si>
  <si>
    <t xml:space="preserve">From the pitch deck deal shape</t>
  </si>
  <si>
    <t xml:space="preserve">Music licensing per active partnership</t>
  </si>
  <si>
    <t xml:space="preserve">Publisher sync for game-style songs</t>
  </si>
  <si>
    <t xml:space="preserve">Tour ticket &amp; VIP giveaways per active partnership</t>
  </si>
  <si>
    <t xml:space="preserve">Free tickets every show, VIP packages</t>
  </si>
  <si>
    <t xml:space="preserve">Player prizes, base</t>
  </si>
  <si>
    <t xml:space="preserve">Rewards store fulfilled by Please &amp; Thank You</t>
  </si>
  <si>
    <t xml:space="preserve">Player prizes per MAU</t>
  </si>
  <si>
    <t xml:space="preserve">$/MAU</t>
  </si>
  <si>
    <t xml:space="preserve">Merch cost of goods + fulfillment</t>
  </si>
  <si>
    <t xml:space="preserve">% of sales</t>
  </si>
  <si>
    <t xml:space="preserve">AI songs, voice and press per MAU</t>
  </si>
  <si>
    <t xml:space="preserve">ElevenLabs + Claude API, with daily caps</t>
  </si>
  <si>
    <t xml:space="preserve">Hosting base (Supabase, Vercel, Apple dev)</t>
  </si>
  <si>
    <t xml:space="preserve">Hosting per MAU</t>
  </si>
  <si>
    <t xml:space="preserve">Player support per MAU</t>
  </si>
  <si>
    <t xml:space="preserve">Team &amp; contractors per month, Year 1</t>
  </si>
  <si>
    <t xml:space="preserve">Dev, live-ops, art, community</t>
  </si>
  <si>
    <t xml:space="preserve">Team &amp; contractors per month, Year 2</t>
  </si>
  <si>
    <t xml:space="preserve">Team &amp; contractors per month, Year 3</t>
  </si>
  <si>
    <t xml:space="preserve">Legal, accounting, insurance, software</t>
  </si>
  <si>
    <t xml:space="preserve">Starting cash</t>
  </si>
  <si>
    <t xml:space="preserve">Raise or founder funding</t>
  </si>
  <si>
    <t xml:space="preserve">Annual summary</t>
  </si>
  <si>
    <t xml:space="preserve">Line item</t>
  </si>
  <si>
    <t xml:space="preserve">Year 1</t>
  </si>
  <si>
    <t xml:space="preserve">Year 2</t>
  </si>
  <si>
    <t xml:space="preserve">Year 3</t>
  </si>
  <si>
    <t xml:space="preserve">3-year total</t>
  </si>
  <si>
    <t xml:space="preserve">USERS</t>
  </si>
  <si>
    <t xml:space="preserve">New installs</t>
  </si>
  <si>
    <t xml:space="preserve">Total accounts (end of year)</t>
  </si>
  <si>
    <t xml:space="preserve">Monthly active users (end of year)</t>
  </si>
  <si>
    <t xml:space="preserve">VIP subscribers (end of year)</t>
  </si>
  <si>
    <t xml:space="preserve">Active artist partnerships (end of year)</t>
  </si>
  <si>
    <t xml:space="preserve">REVENUE</t>
  </si>
  <si>
    <t xml:space="preserve">VIP subscriptions</t>
  </si>
  <si>
    <t xml:space="preserve">In-app purchases</t>
  </si>
  <si>
    <t xml:space="preserve">Merch sales</t>
  </si>
  <si>
    <t xml:space="preserve">Brand &amp; venue sponsorships</t>
  </si>
  <si>
    <t xml:space="preserve">Total revenue</t>
  </si>
  <si>
    <t xml:space="preserve">COSTS</t>
  </si>
  <si>
    <t xml:space="preserve">Cost of revenue</t>
  </si>
  <si>
    <t xml:space="preserve">Gross profit</t>
  </si>
  <si>
    <t xml:space="preserve">Gross margin</t>
  </si>
  <si>
    <t xml:space="preserve">Paid marketing</t>
  </si>
  <si>
    <t xml:space="preserve">Team &amp; contractors</t>
  </si>
  <si>
    <t xml:space="preserve">Support, legal, G&amp;A</t>
  </si>
  <si>
    <t xml:space="preserve">Total operating expenses</t>
  </si>
  <si>
    <t xml:space="preserve">BOTTOM LINE</t>
  </si>
  <si>
    <t xml:space="preserve">EBITDA (profit / loss)</t>
  </si>
  <si>
    <t xml:space="preserve">Cash balance (end of year)</t>
  </si>
  <si>
    <t xml:space="preserve">Lowest cash point (36 months)</t>
  </si>
  <si>
    <t xml:space="preserve">First month with a monthly profit</t>
  </si>
  <si>
    <t xml:space="preserve">Monthly model</t>
  </si>
  <si>
    <t xml:space="preserve">Month #</t>
  </si>
  <si>
    <t xml:space="preserve">Notes</t>
  </si>
  <si>
    <t xml:space="preserve">Year</t>
  </si>
  <si>
    <t xml:space="preserve">Waitlist installs (launch)</t>
  </si>
  <si>
    <t xml:space="preserve">Organic installs</t>
  </si>
  <si>
    <t xml:space="preserve">Paid marketing spend</t>
  </si>
  <si>
    <t xml:space="preserve">Paid installs</t>
  </si>
  <si>
    <t xml:space="preserve">Artist partner launches</t>
  </si>
  <si>
    <t xml:space="preserve">Artist partner installs</t>
  </si>
  <si>
    <t xml:space="preserve">Total new installs</t>
  </si>
  <si>
    <t xml:space="preserve">Cumulative installs</t>
  </si>
  <si>
    <t xml:space="preserve">New accounts (signups)</t>
  </si>
  <si>
    <t xml:space="preserve">Total accounts</t>
  </si>
  <si>
    <t xml:space="preserve">Monthly active users (MAU)</t>
  </si>
  <si>
    <t xml:space="preserve">VIP subscribers</t>
  </si>
  <si>
    <t xml:space="preserve">In-app spenders</t>
  </si>
  <si>
    <t xml:space="preserve">Active artist partnerships</t>
  </si>
  <si>
    <t xml:space="preserve">REVENUE (gross)</t>
  </si>
  <si>
    <t xml:space="preserve">In-app purchases (Gold, AI songs, cash, artist packs)</t>
  </si>
  <si>
    <t xml:space="preserve">COST OF REVENUE</t>
  </si>
  <si>
    <t xml:space="preserve">App Store / Google Play fees</t>
  </si>
  <si>
    <t xml:space="preserve">RevenueCat</t>
  </si>
  <si>
    <t xml:space="preserve">Artist revenue share</t>
  </si>
  <si>
    <t xml:space="preserve">Music licensing</t>
  </si>
  <si>
    <t xml:space="preserve">Tour ticket &amp; VIP giveaways</t>
  </si>
  <si>
    <t xml:space="preserve">Player prizes (rewards store)</t>
  </si>
  <si>
    <t xml:space="preserve">AI (songs, voice, press)</t>
  </si>
  <si>
    <t xml:space="preserve">Hosting &amp; infrastructure</t>
  </si>
  <si>
    <t xml:space="preserve">Total cost of revenue</t>
  </si>
  <si>
    <t xml:space="preserve">OPERATING EXPENSES</t>
  </si>
  <si>
    <t xml:space="preserve">Player support</t>
  </si>
  <si>
    <t xml:space="preserve">Cash balance</t>
  </si>
  <si>
    <t xml:space="preserve">KEY METRICS</t>
  </si>
  <si>
    <t xml:space="preserve">Revenue per MAU</t>
  </si>
  <si>
    <t xml:space="preserve">Paid cost per account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</si>
</sst>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mmm\ yyyy"/>
    <numFmt numFmtId="166" formatCode="#,##0;\(#,##0\);\-"/>
    <numFmt numFmtId="167" formatCode="0.0%;\(0.0%\);\-"/>
    <numFmt numFmtId="168" formatCode="\$#,##0;&quot;($&quot;#,##0\);\-"/>
    <numFmt numFmtId="169" formatCode="\$#,##0.00;&quot;($&quot;#,##0.00\);\-"/>
    <numFmt numFmtId="170" formatCode="0.00%"/>
    <numFmt numFmtId="171" formatCode="mmm\ yy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i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4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666666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1640"/>
        <bgColor rgb="FF003366"/>
      </patternFill>
    </fill>
    <fill>
      <patternFill patternType="solid">
        <fgColor rgb="FFEDE9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BBBBBB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1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EDE9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16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1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/>
    </row>
    <row r="9" customFormat="false" ht="15" hidden="false" customHeight="false" outlineLevel="0" collapsed="false">
      <c r="A9" s="1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/>
    </row>
    <row r="12" customFormat="false" ht="15" hidden="false" customHeight="false" outlineLevel="0" collapsed="false">
      <c r="A12" s="1" t="s">
        <v>8</v>
      </c>
    </row>
    <row r="13" customFormat="false" ht="15" hidden="false" customHeight="false" outlineLevel="0" collapsed="false">
      <c r="A13" s="3" t="s">
        <v>9</v>
      </c>
    </row>
    <row r="14" customFormat="false" ht="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3"/>
    </row>
    <row r="17" customFormat="false" ht="15" hidden="false" customHeight="false" outlineLevel="0" collapsed="false">
      <c r="A17" s="1" t="s">
        <v>12</v>
      </c>
    </row>
    <row r="18" customFormat="false" ht="15" hidden="false" customHeight="false" outlineLevel="0" collapsed="false">
      <c r="A18" s="3" t="s">
        <v>13</v>
      </c>
    </row>
    <row r="19" customFormat="false" ht="15" hidden="false" customHeight="false" outlineLevel="0" collapsed="false">
      <c r="A19" s="3" t="s">
        <v>14</v>
      </c>
    </row>
    <row r="20" customFormat="false" ht="15" hidden="false" customHeight="false" outlineLevel="0" collapsed="false">
      <c r="A20" s="3" t="s">
        <v>15</v>
      </c>
    </row>
    <row r="21" customFormat="false" ht="15" hidden="false" customHeight="false" outlineLevel="0" collapsed="false">
      <c r="A21" s="3" t="s">
        <v>16</v>
      </c>
    </row>
    <row r="22" customFormat="false" ht="15" hidden="false" customHeight="false" outlineLevel="0" collapsed="false">
      <c r="A22" s="3" t="s">
        <v>17</v>
      </c>
    </row>
    <row r="23" customFormat="false" ht="15" hidden="false" customHeight="false" outlineLevel="0" collapsed="false">
      <c r="A23" s="3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2"/>
    <col collapsed="false" customWidth="true" hidden="false" outlineLevel="0" max="5" min="5" style="0" width="13"/>
    <col collapsed="false" customWidth="true" hidden="false" outlineLevel="0" max="6" min="6" style="0" width="10"/>
    <col collapsed="false" customWidth="true" hidden="false" outlineLevel="0" max="7" min="7" style="0" width="52"/>
  </cols>
  <sheetData>
    <row r="1" customFormat="false" ht="17.35" hidden="false" customHeight="false" outlineLevel="0" collapsed="false">
      <c r="A1" s="4" t="s">
        <v>19</v>
      </c>
    </row>
    <row r="3" customFormat="false" ht="15" hidden="false" customHeight="false" outlineLevel="0" collapsed="false">
      <c r="A3" s="1" t="s">
        <v>20</v>
      </c>
      <c r="B3" s="5" t="s">
        <v>21</v>
      </c>
      <c r="C3" s="6" t="s">
        <v>22</v>
      </c>
    </row>
    <row r="4" customFormat="false" ht="15" hidden="false" customHeight="false" outlineLevel="0" collapsed="false">
      <c r="A4" s="1" t="s">
        <v>23</v>
      </c>
      <c r="B4" s="7" t="n">
        <v>46388</v>
      </c>
      <c r="C4" s="6" t="s">
        <v>24</v>
      </c>
    </row>
    <row r="6" customFormat="false" ht="15" hidden="false" customHeight="false" outlineLevel="0" collapsed="false">
      <c r="A6" s="8" t="s">
        <v>25</v>
      </c>
      <c r="B6" s="8" t="s">
        <v>26</v>
      </c>
      <c r="C6" s="8" t="s">
        <v>21</v>
      </c>
      <c r="D6" s="8" t="s">
        <v>27</v>
      </c>
      <c r="E6" s="8" t="s">
        <v>28</v>
      </c>
      <c r="F6" s="8" t="s">
        <v>29</v>
      </c>
      <c r="G6" s="8" t="s">
        <v>30</v>
      </c>
    </row>
    <row r="7" customFormat="false" ht="15" hidden="false" customHeight="false" outlineLevel="0" collapsed="false">
      <c r="A7" s="9" t="s">
        <v>31</v>
      </c>
      <c r="B7" s="10"/>
      <c r="C7" s="10"/>
      <c r="D7" s="10"/>
      <c r="E7" s="10"/>
      <c r="F7" s="10"/>
      <c r="G7" s="10"/>
    </row>
    <row r="8" customFormat="false" ht="15" hidden="false" customHeight="false" outlineLevel="0" collapsed="false">
      <c r="A8" s="3" t="s">
        <v>32</v>
      </c>
      <c r="B8" s="11" t="n">
        <v>5000</v>
      </c>
      <c r="C8" s="11" t="n">
        <v>15000</v>
      </c>
      <c r="D8" s="11" t="n">
        <v>40000</v>
      </c>
      <c r="E8" s="12" t="n">
        <f aca="false">INDEX(B8:D8,MATCH($B$3,$B$6:$D$6,0))</f>
        <v>15000</v>
      </c>
      <c r="F8" s="13" t="s">
        <v>33</v>
      </c>
      <c r="G8" s="13" t="s">
        <v>34</v>
      </c>
    </row>
    <row r="9" customFormat="false" ht="15" hidden="false" customHeight="false" outlineLevel="0" collapsed="false">
      <c r="A9" s="3" t="s">
        <v>35</v>
      </c>
      <c r="B9" s="14" t="n">
        <v>0.3</v>
      </c>
      <c r="C9" s="14" t="n">
        <v>0.4</v>
      </c>
      <c r="D9" s="14" t="n">
        <v>0.5</v>
      </c>
      <c r="E9" s="15" t="n">
        <f aca="false">INDEX(B9:D9,MATCH($B$3,$B$6:$D$6,0))</f>
        <v>0.4</v>
      </c>
      <c r="F9" s="13" t="s">
        <v>36</v>
      </c>
      <c r="G9" s="13" t="s">
        <v>37</v>
      </c>
    </row>
    <row r="10" customFormat="false" ht="15" hidden="false" customHeight="false" outlineLevel="0" collapsed="false">
      <c r="A10" s="3" t="s">
        <v>38</v>
      </c>
      <c r="B10" s="11" t="n">
        <v>2000</v>
      </c>
      <c r="C10" s="11" t="n">
        <v>5000</v>
      </c>
      <c r="D10" s="11" t="n">
        <v>12000</v>
      </c>
      <c r="E10" s="12" t="n">
        <f aca="false">INDEX(B10:D10,MATCH($B$3,$B$6:$D$6,0))</f>
        <v>5000</v>
      </c>
      <c r="F10" s="13" t="s">
        <v>39</v>
      </c>
      <c r="G10" s="13" t="s">
        <v>40</v>
      </c>
    </row>
    <row r="11" customFormat="false" ht="15" hidden="false" customHeight="false" outlineLevel="0" collapsed="false">
      <c r="A11" s="3" t="s">
        <v>41</v>
      </c>
      <c r="B11" s="14" t="n">
        <v>0.03</v>
      </c>
      <c r="C11" s="14" t="n">
        <v>0.06</v>
      </c>
      <c r="D11" s="14" t="n">
        <v>0.1</v>
      </c>
      <c r="E11" s="15" t="n">
        <f aca="false">INDEX(B11:D11,MATCH($B$3,$B$6:$D$6,0))</f>
        <v>0.06</v>
      </c>
      <c r="F11" s="13" t="s">
        <v>36</v>
      </c>
      <c r="G11" s="13" t="s">
        <v>42</v>
      </c>
    </row>
    <row r="12" customFormat="false" ht="15" hidden="false" customHeight="false" outlineLevel="0" collapsed="false">
      <c r="A12" s="3" t="s">
        <v>43</v>
      </c>
      <c r="B12" s="16" t="n">
        <v>3000</v>
      </c>
      <c r="C12" s="16" t="n">
        <v>10000</v>
      </c>
      <c r="D12" s="16" t="n">
        <v>25000</v>
      </c>
      <c r="E12" s="17" t="n">
        <f aca="false">INDEX(B12:D12,MATCH($B$3,$B$6:$D$6,0))</f>
        <v>10000</v>
      </c>
      <c r="F12" s="13" t="s">
        <v>44</v>
      </c>
      <c r="G12" s="13" t="s">
        <v>45</v>
      </c>
    </row>
    <row r="13" customFormat="false" ht="15" hidden="false" customHeight="false" outlineLevel="0" collapsed="false">
      <c r="A13" s="3" t="s">
        <v>46</v>
      </c>
      <c r="B13" s="16" t="n">
        <v>5000</v>
      </c>
      <c r="C13" s="16" t="n">
        <v>25000</v>
      </c>
      <c r="D13" s="16" t="n">
        <v>75000</v>
      </c>
      <c r="E13" s="17" t="n">
        <f aca="false">INDEX(B13:D13,MATCH($B$3,$B$6:$D$6,0))</f>
        <v>25000</v>
      </c>
      <c r="F13" s="13" t="s">
        <v>44</v>
      </c>
      <c r="G13" s="13"/>
    </row>
    <row r="14" customFormat="false" ht="15" hidden="false" customHeight="false" outlineLevel="0" collapsed="false">
      <c r="A14" s="3" t="s">
        <v>47</v>
      </c>
      <c r="B14" s="16" t="n">
        <v>8000</v>
      </c>
      <c r="C14" s="16" t="n">
        <v>50000</v>
      </c>
      <c r="D14" s="16" t="n">
        <v>150000</v>
      </c>
      <c r="E14" s="17" t="n">
        <f aca="false">INDEX(B14:D14,MATCH($B$3,$B$6:$D$6,0))</f>
        <v>50000</v>
      </c>
      <c r="F14" s="13" t="s">
        <v>44</v>
      </c>
      <c r="G14" s="13"/>
    </row>
    <row r="15" customFormat="false" ht="15" hidden="false" customHeight="false" outlineLevel="0" collapsed="false">
      <c r="A15" s="3" t="s">
        <v>48</v>
      </c>
      <c r="B15" s="18" t="n">
        <v>3.5</v>
      </c>
      <c r="C15" s="18" t="n">
        <v>2.75</v>
      </c>
      <c r="D15" s="18" t="n">
        <v>2.25</v>
      </c>
      <c r="E15" s="19" t="n">
        <f aca="false">INDEX(B15:D15,MATCH($B$3,$B$6:$D$6,0))</f>
        <v>2.75</v>
      </c>
      <c r="F15" s="13" t="s">
        <v>44</v>
      </c>
      <c r="G15" s="13" t="s">
        <v>49</v>
      </c>
    </row>
    <row r="16" customFormat="false" ht="15" hidden="false" customHeight="false" outlineLevel="0" collapsed="false">
      <c r="A16" s="3" t="s">
        <v>50</v>
      </c>
      <c r="B16" s="11" t="n">
        <v>6</v>
      </c>
      <c r="C16" s="11" t="n">
        <v>3</v>
      </c>
      <c r="D16" s="11" t="n">
        <v>2</v>
      </c>
      <c r="E16" s="12" t="n">
        <f aca="false">INDEX(B16:D16,MATCH($B$3,$B$6:$D$6,0))</f>
        <v>3</v>
      </c>
      <c r="F16" s="13" t="s">
        <v>51</v>
      </c>
      <c r="G16" s="13" t="s">
        <v>52</v>
      </c>
    </row>
    <row r="17" customFormat="false" ht="15" hidden="false" customHeight="false" outlineLevel="0" collapsed="false">
      <c r="A17" s="3" t="s">
        <v>53</v>
      </c>
      <c r="B17" s="11" t="n">
        <v>12</v>
      </c>
      <c r="C17" s="11" t="n">
        <v>12</v>
      </c>
      <c r="D17" s="11" t="n">
        <v>12</v>
      </c>
      <c r="E17" s="12" t="n">
        <f aca="false">INDEX(B17:D17,MATCH($B$3,$B$6:$D$6,0))</f>
        <v>12</v>
      </c>
      <c r="F17" s="13" t="s">
        <v>51</v>
      </c>
      <c r="G17" s="13" t="s">
        <v>54</v>
      </c>
    </row>
    <row r="18" customFormat="false" ht="15" hidden="false" customHeight="false" outlineLevel="0" collapsed="false">
      <c r="A18" s="3" t="s">
        <v>55</v>
      </c>
      <c r="B18" s="11" t="n">
        <v>5000</v>
      </c>
      <c r="C18" s="11" t="n">
        <v>15000</v>
      </c>
      <c r="D18" s="11" t="n">
        <v>40000</v>
      </c>
      <c r="E18" s="12" t="n">
        <f aca="false">INDEX(B18:D18,MATCH($B$3,$B$6:$D$6,0))</f>
        <v>15000</v>
      </c>
      <c r="F18" s="13" t="s">
        <v>39</v>
      </c>
      <c r="G18" s="13" t="s">
        <v>56</v>
      </c>
    </row>
    <row r="19" customFormat="false" ht="15" hidden="false" customHeight="false" outlineLevel="0" collapsed="false">
      <c r="A19" s="3" t="s">
        <v>57</v>
      </c>
      <c r="B19" s="14" t="n">
        <v>0.3</v>
      </c>
      <c r="C19" s="14" t="n">
        <v>0.4</v>
      </c>
      <c r="D19" s="14" t="n">
        <v>0.5</v>
      </c>
      <c r="E19" s="15" t="n">
        <f aca="false">INDEX(B19:D19,MATCH($B$3,$B$6:$D$6,0))</f>
        <v>0.4</v>
      </c>
      <c r="F19" s="13" t="s">
        <v>36</v>
      </c>
      <c r="G19" s="13" t="s">
        <v>58</v>
      </c>
    </row>
    <row r="20" customFormat="false" ht="15" hidden="false" customHeight="false" outlineLevel="0" collapsed="false">
      <c r="A20" s="9" t="s">
        <v>59</v>
      </c>
      <c r="B20" s="10"/>
      <c r="C20" s="10"/>
      <c r="D20" s="10"/>
      <c r="E20" s="10"/>
      <c r="F20" s="10"/>
      <c r="G20" s="10"/>
    </row>
    <row r="21" customFormat="false" ht="15" hidden="false" customHeight="false" outlineLevel="0" collapsed="false">
      <c r="A21" s="3" t="s">
        <v>60</v>
      </c>
      <c r="B21" s="14" t="n">
        <v>0.12</v>
      </c>
      <c r="C21" s="14" t="n">
        <v>0.18</v>
      </c>
      <c r="D21" s="14" t="n">
        <v>0.24</v>
      </c>
      <c r="E21" s="15" t="n">
        <f aca="false">INDEX(B21:D21,MATCH($B$3,$B$6:$D$6,0))</f>
        <v>0.18</v>
      </c>
      <c r="F21" s="13" t="s">
        <v>36</v>
      </c>
      <c r="G21" s="13" t="s">
        <v>61</v>
      </c>
    </row>
    <row r="22" customFormat="false" ht="15" hidden="false" customHeight="false" outlineLevel="0" collapsed="false">
      <c r="A22" s="3" t="s">
        <v>62</v>
      </c>
      <c r="B22" s="14" t="n">
        <v>0.65</v>
      </c>
      <c r="C22" s="14" t="n">
        <v>0.75</v>
      </c>
      <c r="D22" s="14" t="n">
        <v>0.82</v>
      </c>
      <c r="E22" s="15" t="n">
        <f aca="false">INDEX(B22:D22,MATCH($B$3,$B$6:$D$6,0))</f>
        <v>0.75</v>
      </c>
      <c r="F22" s="13" t="s">
        <v>36</v>
      </c>
      <c r="G22" s="13" t="s">
        <v>63</v>
      </c>
    </row>
    <row r="23" customFormat="false" ht="15" hidden="false" customHeight="false" outlineLevel="0" collapsed="false">
      <c r="A23" s="9" t="s">
        <v>64</v>
      </c>
      <c r="B23" s="10"/>
      <c r="C23" s="10"/>
      <c r="D23" s="10"/>
      <c r="E23" s="10"/>
      <c r="F23" s="10"/>
      <c r="G23" s="10"/>
    </row>
    <row r="24" customFormat="false" ht="15" hidden="false" customHeight="false" outlineLevel="0" collapsed="false">
      <c r="A24" s="3" t="s">
        <v>65</v>
      </c>
      <c r="B24" s="14" t="n">
        <v>0.008</v>
      </c>
      <c r="C24" s="14" t="n">
        <v>0.015</v>
      </c>
      <c r="D24" s="14" t="n">
        <v>0.025</v>
      </c>
      <c r="E24" s="15" t="n">
        <f aca="false">INDEX(B24:D24,MATCH($B$3,$B$6:$D$6,0))</f>
        <v>0.015</v>
      </c>
      <c r="F24" s="13" t="s">
        <v>36</v>
      </c>
      <c r="G24" s="13" t="s">
        <v>66</v>
      </c>
    </row>
    <row r="25" customFormat="false" ht="15" hidden="false" customHeight="false" outlineLevel="0" collapsed="false">
      <c r="A25" s="3" t="s">
        <v>67</v>
      </c>
      <c r="B25" s="18" t="n">
        <v>4</v>
      </c>
      <c r="C25" s="18" t="n">
        <v>4</v>
      </c>
      <c r="D25" s="18" t="n">
        <v>4</v>
      </c>
      <c r="E25" s="19" t="n">
        <f aca="false">INDEX(B25:D25,MATCH($B$3,$B$6:$D$6,0))</f>
        <v>4</v>
      </c>
      <c r="F25" s="13" t="s">
        <v>68</v>
      </c>
      <c r="G25" s="13" t="s">
        <v>69</v>
      </c>
    </row>
    <row r="26" customFormat="false" ht="15" hidden="false" customHeight="false" outlineLevel="0" collapsed="false">
      <c r="A26" s="3" t="s">
        <v>70</v>
      </c>
      <c r="B26" s="14" t="n">
        <v>0.015</v>
      </c>
      <c r="C26" s="14" t="n">
        <v>0.025</v>
      </c>
      <c r="D26" s="14" t="n">
        <v>0.035</v>
      </c>
      <c r="E26" s="15" t="n">
        <f aca="false">INDEX(B26:D26,MATCH($B$3,$B$6:$D$6,0))</f>
        <v>0.025</v>
      </c>
      <c r="F26" s="13" t="s">
        <v>36</v>
      </c>
      <c r="G26" s="13" t="s">
        <v>71</v>
      </c>
    </row>
    <row r="27" customFormat="false" ht="15" hidden="false" customHeight="false" outlineLevel="0" collapsed="false">
      <c r="A27" s="3" t="s">
        <v>72</v>
      </c>
      <c r="B27" s="18" t="n">
        <v>6</v>
      </c>
      <c r="C27" s="18" t="n">
        <v>8</v>
      </c>
      <c r="D27" s="18" t="n">
        <v>11</v>
      </c>
      <c r="E27" s="19" t="n">
        <f aca="false">INDEX(B27:D27,MATCH($B$3,$B$6:$D$6,0))</f>
        <v>8</v>
      </c>
      <c r="F27" s="13" t="s">
        <v>68</v>
      </c>
      <c r="G27" s="13"/>
    </row>
    <row r="28" customFormat="false" ht="15" hidden="false" customHeight="false" outlineLevel="0" collapsed="false">
      <c r="A28" s="3" t="s">
        <v>73</v>
      </c>
      <c r="B28" s="14" t="n">
        <v>0.2</v>
      </c>
      <c r="C28" s="14" t="n">
        <v>0.3</v>
      </c>
      <c r="D28" s="14" t="n">
        <v>0.4</v>
      </c>
      <c r="E28" s="15" t="n">
        <f aca="false">INDEX(B28:D28,MATCH($B$3,$B$6:$D$6,0))</f>
        <v>0.3</v>
      </c>
      <c r="F28" s="13" t="s">
        <v>36</v>
      </c>
      <c r="G28" s="13" t="s">
        <v>74</v>
      </c>
    </row>
    <row r="29" customFormat="false" ht="15" hidden="false" customHeight="false" outlineLevel="0" collapsed="false">
      <c r="A29" s="3" t="s">
        <v>75</v>
      </c>
      <c r="B29" s="20" t="n">
        <v>0.001</v>
      </c>
      <c r="C29" s="20" t="n">
        <v>0.0025</v>
      </c>
      <c r="D29" s="20" t="n">
        <v>0.004</v>
      </c>
      <c r="E29" s="21" t="n">
        <f aca="false">INDEX(B29:D29,MATCH($B$3,$B$6:$D$6,0))</f>
        <v>0.0025</v>
      </c>
      <c r="F29" s="13" t="s">
        <v>36</v>
      </c>
      <c r="G29" s="13" t="s">
        <v>76</v>
      </c>
    </row>
    <row r="30" customFormat="false" ht="15" hidden="false" customHeight="false" outlineLevel="0" collapsed="false">
      <c r="A30" s="3" t="s">
        <v>77</v>
      </c>
      <c r="B30" s="16" t="n">
        <v>30</v>
      </c>
      <c r="C30" s="16" t="n">
        <v>35</v>
      </c>
      <c r="D30" s="16" t="n">
        <v>40</v>
      </c>
      <c r="E30" s="17" t="n">
        <f aca="false">INDEX(B30:D30,MATCH($B$3,$B$6:$D$6,0))</f>
        <v>35</v>
      </c>
      <c r="F30" s="13" t="s">
        <v>44</v>
      </c>
      <c r="G30" s="13"/>
    </row>
    <row r="31" customFormat="false" ht="15" hidden="false" customHeight="false" outlineLevel="0" collapsed="false">
      <c r="A31" s="3" t="s">
        <v>78</v>
      </c>
      <c r="B31" s="16" t="n">
        <v>0</v>
      </c>
      <c r="C31" s="16" t="n">
        <v>5000</v>
      </c>
      <c r="D31" s="16" t="n">
        <v>15000</v>
      </c>
      <c r="E31" s="17" t="n">
        <f aca="false">INDEX(B31:D31,MATCH($B$3,$B$6:$D$6,0))</f>
        <v>5000</v>
      </c>
      <c r="F31" s="13" t="s">
        <v>44</v>
      </c>
      <c r="G31" s="13" t="s">
        <v>79</v>
      </c>
    </row>
    <row r="32" customFormat="false" ht="15" hidden="false" customHeight="false" outlineLevel="0" collapsed="false">
      <c r="A32" s="9" t="s">
        <v>80</v>
      </c>
      <c r="B32" s="10"/>
      <c r="C32" s="10"/>
      <c r="D32" s="10"/>
      <c r="E32" s="10"/>
      <c r="F32" s="10"/>
      <c r="G32" s="10"/>
    </row>
    <row r="33" customFormat="false" ht="15" hidden="false" customHeight="false" outlineLevel="0" collapsed="false">
      <c r="A33" s="3" t="s">
        <v>81</v>
      </c>
      <c r="B33" s="14" t="n">
        <v>0.15</v>
      </c>
      <c r="C33" s="14" t="n">
        <v>0.15</v>
      </c>
      <c r="D33" s="14" t="n">
        <v>0.15</v>
      </c>
      <c r="E33" s="15" t="n">
        <f aca="false">INDEX(B33:D33,MATCH($B$3,$B$6:$D$6,0))</f>
        <v>0.15</v>
      </c>
      <c r="F33" s="13" t="s">
        <v>36</v>
      </c>
      <c r="G33" s="13" t="s">
        <v>82</v>
      </c>
    </row>
    <row r="34" customFormat="false" ht="15" hidden="false" customHeight="false" outlineLevel="0" collapsed="false">
      <c r="A34" s="3" t="s">
        <v>83</v>
      </c>
      <c r="B34" s="16" t="n">
        <v>2500</v>
      </c>
      <c r="C34" s="16" t="n">
        <v>2500</v>
      </c>
      <c r="D34" s="16" t="n">
        <v>2500</v>
      </c>
      <c r="E34" s="17" t="n">
        <f aca="false">INDEX(B34:D34,MATCH($B$3,$B$6:$D$6,0))</f>
        <v>2500</v>
      </c>
      <c r="F34" s="13" t="s">
        <v>44</v>
      </c>
      <c r="G34" s="13"/>
    </row>
    <row r="35" customFormat="false" ht="15" hidden="false" customHeight="false" outlineLevel="0" collapsed="false">
      <c r="A35" s="3" t="s">
        <v>84</v>
      </c>
      <c r="B35" s="14" t="n">
        <v>0.01</v>
      </c>
      <c r="C35" s="14" t="n">
        <v>0.01</v>
      </c>
      <c r="D35" s="14" t="n">
        <v>0.01</v>
      </c>
      <c r="E35" s="15" t="n">
        <f aca="false">INDEX(B35:D35,MATCH($B$3,$B$6:$D$6,0))</f>
        <v>0.01</v>
      </c>
      <c r="F35" s="13" t="s">
        <v>36</v>
      </c>
      <c r="G35" s="13"/>
    </row>
    <row r="36" customFormat="false" ht="15" hidden="false" customHeight="false" outlineLevel="0" collapsed="false">
      <c r="A36" s="3" t="s">
        <v>85</v>
      </c>
      <c r="B36" s="14" t="n">
        <v>0.3</v>
      </c>
      <c r="C36" s="14" t="n">
        <v>0.3</v>
      </c>
      <c r="D36" s="14" t="n">
        <v>0.3</v>
      </c>
      <c r="E36" s="15" t="n">
        <f aca="false">INDEX(B36:D36,MATCH($B$3,$B$6:$D$6,0))</f>
        <v>0.3</v>
      </c>
      <c r="F36" s="13" t="s">
        <v>36</v>
      </c>
      <c r="G36" s="13" t="s">
        <v>86</v>
      </c>
    </row>
    <row r="37" customFormat="false" ht="15" hidden="false" customHeight="false" outlineLevel="0" collapsed="false">
      <c r="A37" s="3" t="s">
        <v>87</v>
      </c>
      <c r="B37" s="16" t="n">
        <v>1500</v>
      </c>
      <c r="C37" s="16" t="n">
        <v>1000</v>
      </c>
      <c r="D37" s="16" t="n">
        <v>1000</v>
      </c>
      <c r="E37" s="17" t="n">
        <f aca="false">INDEX(B37:D37,MATCH($B$3,$B$6:$D$6,0))</f>
        <v>1000</v>
      </c>
      <c r="F37" s="13" t="s">
        <v>68</v>
      </c>
      <c r="G37" s="13" t="s">
        <v>88</v>
      </c>
    </row>
    <row r="38" customFormat="false" ht="15" hidden="false" customHeight="false" outlineLevel="0" collapsed="false">
      <c r="A38" s="3" t="s">
        <v>89</v>
      </c>
      <c r="B38" s="16" t="n">
        <v>2000</v>
      </c>
      <c r="C38" s="16" t="n">
        <v>1500</v>
      </c>
      <c r="D38" s="16" t="n">
        <v>1500</v>
      </c>
      <c r="E38" s="17" t="n">
        <f aca="false">INDEX(B38:D38,MATCH($B$3,$B$6:$D$6,0))</f>
        <v>1500</v>
      </c>
      <c r="F38" s="13" t="s">
        <v>68</v>
      </c>
      <c r="G38" s="13" t="s">
        <v>90</v>
      </c>
    </row>
    <row r="39" customFormat="false" ht="15" hidden="false" customHeight="false" outlineLevel="0" collapsed="false">
      <c r="A39" s="3" t="s">
        <v>91</v>
      </c>
      <c r="B39" s="16" t="n">
        <v>1500</v>
      </c>
      <c r="C39" s="16" t="n">
        <v>2000</v>
      </c>
      <c r="D39" s="16" t="n">
        <v>3000</v>
      </c>
      <c r="E39" s="17" t="n">
        <f aca="false">INDEX(B39:D39,MATCH($B$3,$B$6:$D$6,0))</f>
        <v>2000</v>
      </c>
      <c r="F39" s="13" t="s">
        <v>68</v>
      </c>
      <c r="G39" s="13" t="s">
        <v>92</v>
      </c>
    </row>
    <row r="40" customFormat="false" ht="15" hidden="false" customHeight="false" outlineLevel="0" collapsed="false">
      <c r="A40" s="3" t="s">
        <v>93</v>
      </c>
      <c r="B40" s="18" t="n">
        <v>0.05</v>
      </c>
      <c r="C40" s="18" t="n">
        <v>0.05</v>
      </c>
      <c r="D40" s="18" t="n">
        <v>0.05</v>
      </c>
      <c r="E40" s="19" t="n">
        <f aca="false">INDEX(B40:D40,MATCH($B$3,$B$6:$D$6,0))</f>
        <v>0.05</v>
      </c>
      <c r="F40" s="13" t="s">
        <v>94</v>
      </c>
      <c r="G40" s="13"/>
    </row>
    <row r="41" customFormat="false" ht="15" hidden="false" customHeight="false" outlineLevel="0" collapsed="false">
      <c r="A41" s="3" t="s">
        <v>95</v>
      </c>
      <c r="B41" s="14" t="n">
        <v>0.6</v>
      </c>
      <c r="C41" s="14" t="n">
        <v>0.55</v>
      </c>
      <c r="D41" s="14" t="n">
        <v>0.5</v>
      </c>
      <c r="E41" s="15" t="n">
        <f aca="false">INDEX(B41:D41,MATCH($B$3,$B$6:$D$6,0))</f>
        <v>0.55</v>
      </c>
      <c r="F41" s="13" t="s">
        <v>96</v>
      </c>
      <c r="G41" s="13"/>
    </row>
    <row r="42" customFormat="false" ht="15" hidden="false" customHeight="false" outlineLevel="0" collapsed="false">
      <c r="A42" s="3" t="s">
        <v>97</v>
      </c>
      <c r="B42" s="18" t="n">
        <v>0.05</v>
      </c>
      <c r="C42" s="18" t="n">
        <v>0.04</v>
      </c>
      <c r="D42" s="18" t="n">
        <v>0.04</v>
      </c>
      <c r="E42" s="19" t="n">
        <f aca="false">INDEX(B42:D42,MATCH($B$3,$B$6:$D$6,0))</f>
        <v>0.04</v>
      </c>
      <c r="F42" s="13" t="s">
        <v>94</v>
      </c>
      <c r="G42" s="13" t="s">
        <v>98</v>
      </c>
    </row>
    <row r="43" customFormat="false" ht="15" hidden="false" customHeight="false" outlineLevel="0" collapsed="false">
      <c r="A43" s="3" t="s">
        <v>99</v>
      </c>
      <c r="B43" s="16" t="n">
        <v>250</v>
      </c>
      <c r="C43" s="16" t="n">
        <v>250</v>
      </c>
      <c r="D43" s="16" t="n">
        <v>300</v>
      </c>
      <c r="E43" s="17" t="n">
        <f aca="false">INDEX(B43:D43,MATCH($B$3,$B$6:$D$6,0))</f>
        <v>250</v>
      </c>
      <c r="F43" s="13" t="s">
        <v>68</v>
      </c>
      <c r="G43" s="13"/>
    </row>
    <row r="44" customFormat="false" ht="15" hidden="false" customHeight="false" outlineLevel="0" collapsed="false">
      <c r="A44" s="3" t="s">
        <v>100</v>
      </c>
      <c r="B44" s="18" t="n">
        <v>0.01</v>
      </c>
      <c r="C44" s="18" t="n">
        <v>0.008</v>
      </c>
      <c r="D44" s="18" t="n">
        <v>0.008</v>
      </c>
      <c r="E44" s="19" t="n">
        <f aca="false">INDEX(B44:D44,MATCH($B$3,$B$6:$D$6,0))</f>
        <v>0.008</v>
      </c>
      <c r="F44" s="13" t="s">
        <v>94</v>
      </c>
      <c r="G44" s="13"/>
    </row>
    <row r="45" customFormat="false" ht="15" hidden="false" customHeight="false" outlineLevel="0" collapsed="false">
      <c r="A45" s="3" t="s">
        <v>101</v>
      </c>
      <c r="B45" s="18" t="n">
        <v>0.02</v>
      </c>
      <c r="C45" s="18" t="n">
        <v>0.02</v>
      </c>
      <c r="D45" s="18" t="n">
        <v>0.015</v>
      </c>
      <c r="E45" s="19" t="n">
        <f aca="false">INDEX(B45:D45,MATCH($B$3,$B$6:$D$6,0))</f>
        <v>0.02</v>
      </c>
      <c r="F45" s="13" t="s">
        <v>94</v>
      </c>
      <c r="G45" s="13"/>
    </row>
    <row r="46" customFormat="false" ht="15" hidden="false" customHeight="false" outlineLevel="0" collapsed="false">
      <c r="A46" s="3" t="s">
        <v>102</v>
      </c>
      <c r="B46" s="16" t="n">
        <v>15000</v>
      </c>
      <c r="C46" s="16" t="n">
        <v>25000</v>
      </c>
      <c r="D46" s="16" t="n">
        <v>40000</v>
      </c>
      <c r="E46" s="17" t="n">
        <f aca="false">INDEX(B46:D46,MATCH($B$3,$B$6:$D$6,0))</f>
        <v>25000</v>
      </c>
      <c r="F46" s="13" t="s">
        <v>44</v>
      </c>
      <c r="G46" s="13" t="s">
        <v>103</v>
      </c>
    </row>
    <row r="47" customFormat="false" ht="15" hidden="false" customHeight="false" outlineLevel="0" collapsed="false">
      <c r="A47" s="3" t="s">
        <v>104</v>
      </c>
      <c r="B47" s="16" t="n">
        <v>25000</v>
      </c>
      <c r="C47" s="16" t="n">
        <v>45000</v>
      </c>
      <c r="D47" s="16" t="n">
        <v>80000</v>
      </c>
      <c r="E47" s="17" t="n">
        <f aca="false">INDEX(B47:D47,MATCH($B$3,$B$6:$D$6,0))</f>
        <v>45000</v>
      </c>
      <c r="F47" s="13" t="s">
        <v>44</v>
      </c>
      <c r="G47" s="13"/>
    </row>
    <row r="48" customFormat="false" ht="15" hidden="false" customHeight="false" outlineLevel="0" collapsed="false">
      <c r="A48" s="3" t="s">
        <v>105</v>
      </c>
      <c r="B48" s="16" t="n">
        <v>35000</v>
      </c>
      <c r="C48" s="16" t="n">
        <v>70000</v>
      </c>
      <c r="D48" s="16" t="n">
        <v>120000</v>
      </c>
      <c r="E48" s="17" t="n">
        <f aca="false">INDEX(B48:D48,MATCH($B$3,$B$6:$D$6,0))</f>
        <v>70000</v>
      </c>
      <c r="F48" s="13" t="s">
        <v>44</v>
      </c>
      <c r="G48" s="13"/>
    </row>
    <row r="49" customFormat="false" ht="15" hidden="false" customHeight="false" outlineLevel="0" collapsed="false">
      <c r="A49" s="3" t="s">
        <v>106</v>
      </c>
      <c r="B49" s="16" t="n">
        <v>3000</v>
      </c>
      <c r="C49" s="16" t="n">
        <v>4000</v>
      </c>
      <c r="D49" s="16" t="n">
        <v>6000</v>
      </c>
      <c r="E49" s="17" t="n">
        <f aca="false">INDEX(B49:D49,MATCH($B$3,$B$6:$D$6,0))</f>
        <v>4000</v>
      </c>
      <c r="F49" s="13" t="s">
        <v>68</v>
      </c>
      <c r="G49" s="13"/>
    </row>
    <row r="50" customFormat="false" ht="15" hidden="false" customHeight="false" outlineLevel="0" collapsed="false">
      <c r="A50" s="3" t="s">
        <v>107</v>
      </c>
      <c r="B50" s="16" t="n">
        <v>250000</v>
      </c>
      <c r="C50" s="16" t="n">
        <v>500000</v>
      </c>
      <c r="D50" s="16" t="n">
        <v>1000000</v>
      </c>
      <c r="E50" s="17" t="n">
        <f aca="false">INDEX(B50:D50,MATCH($B$3,$B$6:$D$6,0))</f>
        <v>500000</v>
      </c>
      <c r="F50" s="13" t="s">
        <v>44</v>
      </c>
      <c r="G50" s="13" t="s">
        <v>108</v>
      </c>
    </row>
  </sheetData>
  <dataValidations count="1">
    <dataValidation allowBlank="false" errorStyle="stop" operator="between" showDropDown="false" showErrorMessage="false" showInputMessage="false" sqref="B3" type="list">
      <formula1>"Low,Base,High"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5" min="2" style="0" width="16"/>
  </cols>
  <sheetData>
    <row r="1" customFormat="false" ht="17.35" hidden="false" customHeight="false" outlineLevel="0" collapsed="false">
      <c r="A1" s="4" t="s">
        <v>109</v>
      </c>
    </row>
    <row r="2" customFormat="false" ht="15" hidden="false" customHeight="false" outlineLevel="0" collapsed="false">
      <c r="A2" s="22" t="str">
        <f aca="false">"Scenario: "&amp;Assumptions!$B$3</f>
        <v>Scenario: Base</v>
      </c>
    </row>
    <row r="4" customFormat="false" ht="15" hidden="false" customHeight="false" outlineLevel="0" collapsed="false">
      <c r="A4" s="8" t="s">
        <v>110</v>
      </c>
      <c r="B4" s="8" t="s">
        <v>111</v>
      </c>
      <c r="C4" s="8" t="s">
        <v>112</v>
      </c>
      <c r="D4" s="8" t="s">
        <v>113</v>
      </c>
      <c r="E4" s="8" t="s">
        <v>114</v>
      </c>
    </row>
    <row r="5" customFormat="false" ht="15" hidden="false" customHeight="false" outlineLevel="0" collapsed="false">
      <c r="A5" s="9" t="s">
        <v>115</v>
      </c>
      <c r="B5" s="10"/>
      <c r="C5" s="10"/>
      <c r="D5" s="10"/>
      <c r="E5" s="10"/>
    </row>
    <row r="6" customFormat="false" ht="15" hidden="false" customHeight="false" outlineLevel="0" collapsed="false">
      <c r="A6" s="3" t="s">
        <v>116</v>
      </c>
      <c r="B6" s="23" t="n">
        <f aca="false">SUM(Monthly!C13:N13)</f>
        <v>193986.06962266</v>
      </c>
      <c r="C6" s="23" t="n">
        <f aca="false">SUM(Monthly!O13:Z13)</f>
        <v>338819.0898769</v>
      </c>
      <c r="D6" s="23" t="n">
        <f aca="false">SUM(Monthly!AA13:AL13)</f>
        <v>619708.264730455</v>
      </c>
      <c r="E6" s="12" t="n">
        <f aca="false">SUM(B6:D6)</f>
        <v>1152513.42423001</v>
      </c>
    </row>
    <row r="7" customFormat="false" ht="15" hidden="false" customHeight="false" outlineLevel="0" collapsed="false">
      <c r="A7" s="3" t="s">
        <v>117</v>
      </c>
      <c r="B7" s="23" t="n">
        <f aca="false">Monthly!N16</f>
        <v>77594.4278490638</v>
      </c>
      <c r="C7" s="23" t="n">
        <f aca="false">Monthly!Z16</f>
        <v>213122.063799824</v>
      </c>
      <c r="D7" s="23" t="n">
        <f aca="false">Monthly!AL16</f>
        <v>461005.369692006</v>
      </c>
      <c r="E7" s="12" t="n">
        <f aca="false">D7</f>
        <v>461005.369692006</v>
      </c>
    </row>
    <row r="8" customFormat="false" ht="15" hidden="false" customHeight="false" outlineLevel="0" collapsed="false">
      <c r="A8" s="3" t="s">
        <v>118</v>
      </c>
      <c r="B8" s="23" t="n">
        <f aca="false">Monthly!N17</f>
        <v>38514.6263297585</v>
      </c>
      <c r="C8" s="23" t="n">
        <f aca="false">Monthly!Z17</f>
        <v>63274.1573886965</v>
      </c>
      <c r="D8" s="23" t="n">
        <f aca="false">Monthly!AL17</f>
        <v>109362.560620848</v>
      </c>
      <c r="E8" s="12" t="n">
        <f aca="false">D8</f>
        <v>109362.560620848</v>
      </c>
    </row>
    <row r="9" customFormat="false" ht="15" hidden="false" customHeight="false" outlineLevel="0" collapsed="false">
      <c r="A9" s="3" t="s">
        <v>119</v>
      </c>
      <c r="B9" s="23" t="n">
        <f aca="false">Monthly!N18</f>
        <v>577.719394946377</v>
      </c>
      <c r="C9" s="23" t="n">
        <f aca="false">Monthly!Z18</f>
        <v>949.112360830448</v>
      </c>
      <c r="D9" s="23" t="n">
        <f aca="false">Monthly!AL18</f>
        <v>1640.43840931271</v>
      </c>
      <c r="E9" s="12" t="n">
        <f aca="false">D9</f>
        <v>1640.43840931271</v>
      </c>
    </row>
    <row r="10" customFormat="false" ht="15" hidden="false" customHeight="false" outlineLevel="0" collapsed="false">
      <c r="A10" s="3" t="s">
        <v>120</v>
      </c>
      <c r="B10" s="23" t="n">
        <f aca="false">Monthly!N20</f>
        <v>4</v>
      </c>
      <c r="C10" s="23" t="n">
        <f aca="false">Monthly!Z20</f>
        <v>4</v>
      </c>
      <c r="D10" s="23" t="n">
        <f aca="false">Monthly!AL20</f>
        <v>4</v>
      </c>
      <c r="E10" s="12" t="n">
        <f aca="false">D10</f>
        <v>4</v>
      </c>
    </row>
    <row r="11" customFormat="false" ht="15" hidden="false" customHeight="false" outlineLevel="0" collapsed="false">
      <c r="A11" s="9" t="s">
        <v>121</v>
      </c>
      <c r="B11" s="10"/>
      <c r="C11" s="10"/>
      <c r="D11" s="10"/>
      <c r="E11" s="10"/>
    </row>
    <row r="12" customFormat="false" ht="15" hidden="false" customHeight="false" outlineLevel="0" collapsed="false">
      <c r="A12" s="3" t="s">
        <v>122</v>
      </c>
      <c r="B12" s="24" t="n">
        <f aca="false">SUM(Monthly!C22:N22)</f>
        <v>16934.6204050579</v>
      </c>
      <c r="C12" s="24" t="n">
        <f aca="false">SUM(Monthly!O22:Z22)</f>
        <v>32569.8688574836</v>
      </c>
      <c r="D12" s="24" t="n">
        <f aca="false">SUM(Monthly!AA22:AL22)</f>
        <v>59546.1912994578</v>
      </c>
      <c r="E12" s="17" t="n">
        <f aca="false">SUM(B12:D12)</f>
        <v>109050.680561999</v>
      </c>
    </row>
    <row r="13" customFormat="false" ht="15" hidden="false" customHeight="false" outlineLevel="0" collapsed="false">
      <c r="A13" s="3" t="s">
        <v>123</v>
      </c>
      <c r="B13" s="24" t="n">
        <f aca="false">SUM(Monthly!C23:N23)</f>
        <v>56448.7346835264</v>
      </c>
      <c r="C13" s="24" t="n">
        <f aca="false">SUM(Monthly!O23:Z23)</f>
        <v>108566.229524945</v>
      </c>
      <c r="D13" s="24" t="n">
        <f aca="false">SUM(Monthly!AA23:AL23)</f>
        <v>198487.304331526</v>
      </c>
      <c r="E13" s="17" t="n">
        <f aca="false">SUM(B13:D13)</f>
        <v>363502.268539998</v>
      </c>
    </row>
    <row r="14" customFormat="false" ht="15" hidden="false" customHeight="false" outlineLevel="0" collapsed="false">
      <c r="A14" s="3" t="s">
        <v>124</v>
      </c>
      <c r="B14" s="24" t="n">
        <f aca="false">SUM(Monthly!C24:N24)</f>
        <v>24696.3214240428</v>
      </c>
      <c r="C14" s="24" t="n">
        <f aca="false">SUM(Monthly!O24:Z24)</f>
        <v>47497.7254171635</v>
      </c>
      <c r="D14" s="24" t="n">
        <f aca="false">SUM(Monthly!AA24:AL24)</f>
        <v>86838.1956450427</v>
      </c>
      <c r="E14" s="17" t="n">
        <f aca="false">SUM(B14:D14)</f>
        <v>159032.242486249</v>
      </c>
    </row>
    <row r="15" customFormat="false" ht="15" hidden="false" customHeight="false" outlineLevel="0" collapsed="false">
      <c r="A15" s="3" t="s">
        <v>125</v>
      </c>
      <c r="B15" s="24" t="n">
        <f aca="false">SUM(Monthly!C25:N25)</f>
        <v>34009.5640625</v>
      </c>
      <c r="C15" s="24" t="n">
        <f aca="false">SUM(Monthly!O25:Z25)</f>
        <v>106652.359306608</v>
      </c>
      <c r="D15" s="24" t="n">
        <f aca="false">SUM(Monthly!AA25:AL25)</f>
        <v>191532.314145958</v>
      </c>
      <c r="E15" s="17" t="n">
        <f aca="false">SUM(B15:D15)</f>
        <v>332194.237515066</v>
      </c>
    </row>
    <row r="16" customFormat="false" ht="15" hidden="false" customHeight="false" outlineLevel="0" collapsed="false">
      <c r="A16" s="1" t="s">
        <v>126</v>
      </c>
      <c r="B16" s="24" t="n">
        <f aca="false">SUM(Monthly!C26:N26)</f>
        <v>132089.240575127</v>
      </c>
      <c r="C16" s="24" t="n">
        <f aca="false">SUM(Monthly!O26:Z26)</f>
        <v>295286.183106201</v>
      </c>
      <c r="D16" s="24" t="n">
        <f aca="false">SUM(Monthly!AA26:AL26)</f>
        <v>536404.005421985</v>
      </c>
      <c r="E16" s="17" t="n">
        <f aca="false">SUM(B16:D16)</f>
        <v>963779.429103313</v>
      </c>
    </row>
    <row r="17" customFormat="false" ht="15" hidden="false" customHeight="false" outlineLevel="0" collapsed="false">
      <c r="A17" s="9" t="s">
        <v>127</v>
      </c>
      <c r="B17" s="10"/>
      <c r="C17" s="10"/>
      <c r="D17" s="10"/>
      <c r="E17" s="10"/>
    </row>
    <row r="18" customFormat="false" ht="15" hidden="false" customHeight="false" outlineLevel="0" collapsed="false">
      <c r="A18" s="3" t="s">
        <v>128</v>
      </c>
      <c r="B18" s="24" t="n">
        <f aca="false">SUM(Monthly!C37:N37)</f>
        <v>139002.521795615</v>
      </c>
      <c r="C18" s="24" t="n">
        <f aca="false">SUM(Monthly!O37:Z37)</f>
        <v>256908.29374651</v>
      </c>
      <c r="D18" s="24" t="n">
        <f aca="false">SUM(Monthly!AA37:AL37)</f>
        <v>348189.424809541</v>
      </c>
      <c r="E18" s="17" t="n">
        <f aca="false">SUM(B18:D18)</f>
        <v>744100.240351665</v>
      </c>
    </row>
    <row r="19" customFormat="false" ht="15" hidden="false" customHeight="false" outlineLevel="0" collapsed="false">
      <c r="A19" s="1" t="s">
        <v>129</v>
      </c>
      <c r="B19" s="24" t="n">
        <f aca="false">SUM(Monthly!C38:N38)</f>
        <v>-6913.28122048763</v>
      </c>
      <c r="C19" s="24" t="n">
        <f aca="false">SUM(Monthly!O38:Z38)</f>
        <v>38377.8893596908</v>
      </c>
      <c r="D19" s="24" t="n">
        <f aca="false">SUM(Monthly!AA38:AL38)</f>
        <v>188214.580612444</v>
      </c>
      <c r="E19" s="17" t="n">
        <f aca="false">SUM(B19:D19)</f>
        <v>219679.188751647</v>
      </c>
    </row>
    <row r="20" customFormat="false" ht="15" hidden="false" customHeight="false" outlineLevel="0" collapsed="false">
      <c r="A20" s="3" t="s">
        <v>130</v>
      </c>
      <c r="B20" s="25" t="n">
        <f aca="false">IFERROR(B19/B16,0)</f>
        <v>-0.0523379587193222</v>
      </c>
      <c r="C20" s="25" t="n">
        <f aca="false">IFERROR(C19/C16,0)</f>
        <v>0.129968456214181</v>
      </c>
      <c r="D20" s="25" t="n">
        <f aca="false">IFERROR(D19/D16,0)</f>
        <v>0.350882131210742</v>
      </c>
      <c r="E20" s="15" t="n">
        <f aca="false">IFERROR(E19/E16,0)</f>
        <v>0.227935129260887</v>
      </c>
    </row>
    <row r="21" customFormat="false" ht="15" hidden="false" customHeight="false" outlineLevel="0" collapsed="false">
      <c r="A21" s="3" t="s">
        <v>131</v>
      </c>
      <c r="B21" s="24" t="n">
        <f aca="false">SUM(Monthly!C41:N41)</f>
        <v>120000</v>
      </c>
      <c r="C21" s="24" t="n">
        <f aca="false">SUM(Monthly!O41:Z41)</f>
        <v>300000</v>
      </c>
      <c r="D21" s="24" t="n">
        <f aca="false">SUM(Monthly!AA41:AL41)</f>
        <v>600000</v>
      </c>
      <c r="E21" s="17" t="n">
        <f aca="false">SUM(B21:D21)</f>
        <v>1020000</v>
      </c>
    </row>
    <row r="22" customFormat="false" ht="15" hidden="false" customHeight="false" outlineLevel="0" collapsed="false">
      <c r="A22" s="3" t="s">
        <v>132</v>
      </c>
      <c r="B22" s="24" t="n">
        <f aca="false">SUM(Monthly!C42:N42)</f>
        <v>300000</v>
      </c>
      <c r="C22" s="24" t="n">
        <f aca="false">SUM(Monthly!O42:Z42)</f>
        <v>540000</v>
      </c>
      <c r="D22" s="24" t="n">
        <f aca="false">SUM(Monthly!AA42:AL42)</f>
        <v>840000</v>
      </c>
      <c r="E22" s="17" t="n">
        <f aca="false">SUM(B22:D22)</f>
        <v>1680000</v>
      </c>
    </row>
    <row r="23" customFormat="false" ht="15" hidden="false" customHeight="false" outlineLevel="0" collapsed="false">
      <c r="A23" s="3" t="s">
        <v>133</v>
      </c>
      <c r="B23" s="24" t="n">
        <f aca="false">SUM(Monthly!C43:N43)+SUM(Monthly!C44:N44)</f>
        <v>53644.8734683526</v>
      </c>
      <c r="C23" s="24" t="n">
        <f aca="false">SUM(Monthly!O43:Z43)+SUM(Monthly!O44:Z44)</f>
        <v>58856.6229524945</v>
      </c>
      <c r="D23" s="24" t="n">
        <f aca="false">SUM(Monthly!AA43:AL43)+SUM(Monthly!AA44:AL44)</f>
        <v>67848.7304331526</v>
      </c>
      <c r="E23" s="17" t="n">
        <f aca="false">SUM(B23:D23)</f>
        <v>180350.226854</v>
      </c>
    </row>
    <row r="24" customFormat="false" ht="15" hidden="false" customHeight="false" outlineLevel="0" collapsed="false">
      <c r="A24" s="1" t="s">
        <v>134</v>
      </c>
      <c r="B24" s="24" t="n">
        <f aca="false">SUM(Monthly!C45:N45)</f>
        <v>473644.873468353</v>
      </c>
      <c r="C24" s="24" t="n">
        <f aca="false">SUM(Monthly!O45:Z45)</f>
        <v>898856.622952495</v>
      </c>
      <c r="D24" s="24" t="n">
        <f aca="false">SUM(Monthly!AA45:AL45)</f>
        <v>1507848.73043315</v>
      </c>
      <c r="E24" s="17" t="n">
        <f aca="false">SUM(B24:D24)</f>
        <v>2880350.226854</v>
      </c>
    </row>
    <row r="25" customFormat="false" ht="15" hidden="false" customHeight="false" outlineLevel="0" collapsed="false">
      <c r="A25" s="9" t="s">
        <v>135</v>
      </c>
      <c r="B25" s="10"/>
      <c r="C25" s="10"/>
      <c r="D25" s="10"/>
      <c r="E25" s="10"/>
    </row>
    <row r="26" customFormat="false" ht="15" hidden="false" customHeight="false" outlineLevel="0" collapsed="false">
      <c r="A26" s="1" t="s">
        <v>136</v>
      </c>
      <c r="B26" s="24" t="n">
        <f aca="false">SUM(Monthly!C47:N47)</f>
        <v>-480558.15468884</v>
      </c>
      <c r="C26" s="24" t="n">
        <f aca="false">SUM(Monthly!O47:Z47)</f>
        <v>-860478.733592804</v>
      </c>
      <c r="D26" s="24" t="n">
        <f aca="false">SUM(Monthly!AA47:AL47)</f>
        <v>-1319634.14982071</v>
      </c>
      <c r="E26" s="17" t="n">
        <f aca="false">SUM(B26:D26)</f>
        <v>-2660671.03810235</v>
      </c>
    </row>
    <row r="27" customFormat="false" ht="15" hidden="false" customHeight="false" outlineLevel="0" collapsed="false">
      <c r="A27" s="1" t="s">
        <v>137</v>
      </c>
      <c r="B27" s="24" t="n">
        <f aca="false">Monthly!N48</f>
        <v>19441.8453111597</v>
      </c>
      <c r="C27" s="24" t="n">
        <f aca="false">Monthly!Z48</f>
        <v>-841036.888281644</v>
      </c>
      <c r="D27" s="24" t="n">
        <f aca="false">Monthly!AL48</f>
        <v>-2160671.03810235</v>
      </c>
      <c r="E27" s="17" t="n">
        <f aca="false">D27</f>
        <v>-2160671.03810235</v>
      </c>
    </row>
    <row r="29" customFormat="false" ht="15" hidden="false" customHeight="false" outlineLevel="0" collapsed="false">
      <c r="A29" s="1" t="s">
        <v>138</v>
      </c>
      <c r="B29" s="24" t="n">
        <f aca="false">MIN(Monthly!C48:AL48)</f>
        <v>-2160671.03810235</v>
      </c>
    </row>
    <row r="30" customFormat="false" ht="15" hidden="false" customHeight="false" outlineLevel="0" collapsed="false">
      <c r="A30" s="1" t="s">
        <v>139</v>
      </c>
      <c r="B30" s="26" t="str">
        <f aca="false">IFERROR(INDEX(Monthly!C4:AL4,MATCH(TRUE(),INDEX(Monthly!C47:AL47&gt;0,0),0)),"Not within 36 months")</f>
        <v>Not within 36 months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"/>
    <col collapsed="false" customWidth="true" hidden="false" outlineLevel="0" max="38" min="3" style="0" width="11"/>
  </cols>
  <sheetData>
    <row r="1" customFormat="false" ht="17.35" hidden="false" customHeight="false" outlineLevel="0" collapsed="false">
      <c r="A1" s="4" t="s">
        <v>140</v>
      </c>
    </row>
    <row r="2" customFormat="false" ht="15" hidden="false" customHeight="false" outlineLevel="0" collapsed="false">
      <c r="A2" s="22" t="str">
        <f aca="false">"Scenario: "&amp;Assumptions!$B$3</f>
        <v>Scenario: Base</v>
      </c>
    </row>
    <row r="3" customFormat="false" ht="15" hidden="false" customHeight="false" outlineLevel="0" collapsed="false">
      <c r="A3" s="13" t="s">
        <v>141</v>
      </c>
      <c r="C3" s="27" t="n">
        <v>1</v>
      </c>
      <c r="D3" s="27" t="n">
        <v>2</v>
      </c>
      <c r="E3" s="27" t="n">
        <v>3</v>
      </c>
      <c r="F3" s="27" t="n">
        <v>4</v>
      </c>
      <c r="G3" s="27" t="n">
        <v>5</v>
      </c>
      <c r="H3" s="27" t="n">
        <v>6</v>
      </c>
      <c r="I3" s="27" t="n">
        <v>7</v>
      </c>
      <c r="J3" s="27" t="n">
        <v>8</v>
      </c>
      <c r="K3" s="27" t="n">
        <v>9</v>
      </c>
      <c r="L3" s="27" t="n">
        <v>10</v>
      </c>
      <c r="M3" s="27" t="n">
        <v>11</v>
      </c>
      <c r="N3" s="27" t="n">
        <v>12</v>
      </c>
      <c r="O3" s="27" t="n">
        <v>13</v>
      </c>
      <c r="P3" s="27" t="n">
        <v>14</v>
      </c>
      <c r="Q3" s="27" t="n">
        <v>15</v>
      </c>
      <c r="R3" s="27" t="n">
        <v>16</v>
      </c>
      <c r="S3" s="27" t="n">
        <v>17</v>
      </c>
      <c r="T3" s="27" t="n">
        <v>18</v>
      </c>
      <c r="U3" s="27" t="n">
        <v>19</v>
      </c>
      <c r="V3" s="27" t="n">
        <v>20</v>
      </c>
      <c r="W3" s="27" t="n">
        <v>21</v>
      </c>
      <c r="X3" s="27" t="n">
        <v>22</v>
      </c>
      <c r="Y3" s="27" t="n">
        <v>23</v>
      </c>
      <c r="Z3" s="27" t="n">
        <v>24</v>
      </c>
      <c r="AA3" s="27" t="n">
        <v>25</v>
      </c>
      <c r="AB3" s="27" t="n">
        <v>26</v>
      </c>
      <c r="AC3" s="27" t="n">
        <v>27</v>
      </c>
      <c r="AD3" s="27" t="n">
        <v>28</v>
      </c>
      <c r="AE3" s="27" t="n">
        <v>29</v>
      </c>
      <c r="AF3" s="27" t="n">
        <v>30</v>
      </c>
      <c r="AG3" s="27" t="n">
        <v>31</v>
      </c>
      <c r="AH3" s="27" t="n">
        <v>32</v>
      </c>
      <c r="AI3" s="27" t="n">
        <v>33</v>
      </c>
      <c r="AJ3" s="27" t="n">
        <v>34</v>
      </c>
      <c r="AK3" s="27" t="n">
        <v>35</v>
      </c>
      <c r="AL3" s="27" t="n">
        <v>36</v>
      </c>
    </row>
    <row r="4" customFormat="false" ht="15" hidden="false" customHeight="false" outlineLevel="0" collapsed="false">
      <c r="A4" s="8" t="s">
        <v>110</v>
      </c>
      <c r="B4" s="8" t="s">
        <v>142</v>
      </c>
      <c r="C4" s="28" t="n">
        <f aca="false">EDATE(Assumptions!$B$4,0)</f>
        <v>46388</v>
      </c>
      <c r="D4" s="28" t="n">
        <f aca="false">EDATE(Assumptions!$B$4,1)</f>
        <v>46419</v>
      </c>
      <c r="E4" s="28" t="n">
        <f aca="false">EDATE(Assumptions!$B$4,2)</f>
        <v>46447</v>
      </c>
      <c r="F4" s="28" t="n">
        <f aca="false">EDATE(Assumptions!$B$4,3)</f>
        <v>46478</v>
      </c>
      <c r="G4" s="28" t="n">
        <f aca="false">EDATE(Assumptions!$B$4,4)</f>
        <v>46508</v>
      </c>
      <c r="H4" s="28" t="n">
        <f aca="false">EDATE(Assumptions!$B$4,5)</f>
        <v>46539</v>
      </c>
      <c r="I4" s="28" t="n">
        <f aca="false">EDATE(Assumptions!$B$4,6)</f>
        <v>46569</v>
      </c>
      <c r="J4" s="28" t="n">
        <f aca="false">EDATE(Assumptions!$B$4,7)</f>
        <v>46600</v>
      </c>
      <c r="K4" s="28" t="n">
        <f aca="false">EDATE(Assumptions!$B$4,8)</f>
        <v>46631</v>
      </c>
      <c r="L4" s="28" t="n">
        <f aca="false">EDATE(Assumptions!$B$4,9)</f>
        <v>46661</v>
      </c>
      <c r="M4" s="28" t="n">
        <f aca="false">EDATE(Assumptions!$B$4,10)</f>
        <v>46692</v>
      </c>
      <c r="N4" s="28" t="n">
        <f aca="false">EDATE(Assumptions!$B$4,11)</f>
        <v>46722</v>
      </c>
      <c r="O4" s="28" t="n">
        <f aca="false">EDATE(Assumptions!$B$4,12)</f>
        <v>46753</v>
      </c>
      <c r="P4" s="28" t="n">
        <f aca="false">EDATE(Assumptions!$B$4,13)</f>
        <v>46784</v>
      </c>
      <c r="Q4" s="28" t="n">
        <f aca="false">EDATE(Assumptions!$B$4,14)</f>
        <v>46813</v>
      </c>
      <c r="R4" s="28" t="n">
        <f aca="false">EDATE(Assumptions!$B$4,15)</f>
        <v>46844</v>
      </c>
      <c r="S4" s="28" t="n">
        <f aca="false">EDATE(Assumptions!$B$4,16)</f>
        <v>46874</v>
      </c>
      <c r="T4" s="28" t="n">
        <f aca="false">EDATE(Assumptions!$B$4,17)</f>
        <v>46905</v>
      </c>
      <c r="U4" s="28" t="n">
        <f aca="false">EDATE(Assumptions!$B$4,18)</f>
        <v>46935</v>
      </c>
      <c r="V4" s="28" t="n">
        <f aca="false">EDATE(Assumptions!$B$4,19)</f>
        <v>46966</v>
      </c>
      <c r="W4" s="28" t="n">
        <f aca="false">EDATE(Assumptions!$B$4,20)</f>
        <v>46997</v>
      </c>
      <c r="X4" s="28" t="n">
        <f aca="false">EDATE(Assumptions!$B$4,21)</f>
        <v>47027</v>
      </c>
      <c r="Y4" s="28" t="n">
        <f aca="false">EDATE(Assumptions!$B$4,22)</f>
        <v>47058</v>
      </c>
      <c r="Z4" s="28" t="n">
        <f aca="false">EDATE(Assumptions!$B$4,23)</f>
        <v>47088</v>
      </c>
      <c r="AA4" s="28" t="n">
        <f aca="false">EDATE(Assumptions!$B$4,24)</f>
        <v>47119</v>
      </c>
      <c r="AB4" s="28" t="n">
        <f aca="false">EDATE(Assumptions!$B$4,25)</f>
        <v>47150</v>
      </c>
      <c r="AC4" s="28" t="n">
        <f aca="false">EDATE(Assumptions!$B$4,26)</f>
        <v>47178</v>
      </c>
      <c r="AD4" s="28" t="n">
        <f aca="false">EDATE(Assumptions!$B$4,27)</f>
        <v>47209</v>
      </c>
      <c r="AE4" s="28" t="n">
        <f aca="false">EDATE(Assumptions!$B$4,28)</f>
        <v>47239</v>
      </c>
      <c r="AF4" s="28" t="n">
        <f aca="false">EDATE(Assumptions!$B$4,29)</f>
        <v>47270</v>
      </c>
      <c r="AG4" s="28" t="n">
        <f aca="false">EDATE(Assumptions!$B$4,30)</f>
        <v>47300</v>
      </c>
      <c r="AH4" s="28" t="n">
        <f aca="false">EDATE(Assumptions!$B$4,31)</f>
        <v>47331</v>
      </c>
      <c r="AI4" s="28" t="n">
        <f aca="false">EDATE(Assumptions!$B$4,32)</f>
        <v>47362</v>
      </c>
      <c r="AJ4" s="28" t="n">
        <f aca="false">EDATE(Assumptions!$B$4,33)</f>
        <v>47392</v>
      </c>
      <c r="AK4" s="28" t="n">
        <f aca="false">EDATE(Assumptions!$B$4,34)</f>
        <v>47423</v>
      </c>
      <c r="AL4" s="28" t="n">
        <f aca="false">EDATE(Assumptions!$B$4,35)</f>
        <v>47453</v>
      </c>
    </row>
    <row r="5" customFormat="false" ht="15" hidden="false" customHeight="false" outlineLevel="0" collapsed="false">
      <c r="A5" s="13" t="s">
        <v>143</v>
      </c>
      <c r="C5" s="27" t="n">
        <f aca="false">INT((0)/12)+1</f>
        <v>1</v>
      </c>
      <c r="D5" s="27" t="n">
        <f aca="false">INT((1)/12)+1</f>
        <v>1</v>
      </c>
      <c r="E5" s="27" t="n">
        <f aca="false">INT((2)/12)+1</f>
        <v>1</v>
      </c>
      <c r="F5" s="27" t="n">
        <f aca="false">INT((3)/12)+1</f>
        <v>1</v>
      </c>
      <c r="G5" s="27" t="n">
        <f aca="false">INT((4)/12)+1</f>
        <v>1</v>
      </c>
      <c r="H5" s="27" t="n">
        <f aca="false">INT((5)/12)+1</f>
        <v>1</v>
      </c>
      <c r="I5" s="27" t="n">
        <f aca="false">INT((6)/12)+1</f>
        <v>1</v>
      </c>
      <c r="J5" s="27" t="n">
        <f aca="false">INT((7)/12)+1</f>
        <v>1</v>
      </c>
      <c r="K5" s="27" t="n">
        <f aca="false">INT((8)/12)+1</f>
        <v>1</v>
      </c>
      <c r="L5" s="27" t="n">
        <f aca="false">INT((9)/12)+1</f>
        <v>1</v>
      </c>
      <c r="M5" s="27" t="n">
        <f aca="false">INT((10)/12)+1</f>
        <v>1</v>
      </c>
      <c r="N5" s="27" t="n">
        <f aca="false">INT((11)/12)+1</f>
        <v>1</v>
      </c>
      <c r="O5" s="27" t="n">
        <f aca="false">INT((12)/12)+1</f>
        <v>2</v>
      </c>
      <c r="P5" s="27" t="n">
        <f aca="false">INT((13)/12)+1</f>
        <v>2</v>
      </c>
      <c r="Q5" s="27" t="n">
        <f aca="false">INT((14)/12)+1</f>
        <v>2</v>
      </c>
      <c r="R5" s="27" t="n">
        <f aca="false">INT((15)/12)+1</f>
        <v>2</v>
      </c>
      <c r="S5" s="27" t="n">
        <f aca="false">INT((16)/12)+1</f>
        <v>2</v>
      </c>
      <c r="T5" s="27" t="n">
        <f aca="false">INT((17)/12)+1</f>
        <v>2</v>
      </c>
      <c r="U5" s="27" t="n">
        <f aca="false">INT((18)/12)+1</f>
        <v>2</v>
      </c>
      <c r="V5" s="27" t="n">
        <f aca="false">INT((19)/12)+1</f>
        <v>2</v>
      </c>
      <c r="W5" s="27" t="n">
        <f aca="false">INT((20)/12)+1</f>
        <v>2</v>
      </c>
      <c r="X5" s="27" t="n">
        <f aca="false">INT((21)/12)+1</f>
        <v>2</v>
      </c>
      <c r="Y5" s="27" t="n">
        <f aca="false">INT((22)/12)+1</f>
        <v>2</v>
      </c>
      <c r="Z5" s="27" t="n">
        <f aca="false">INT((23)/12)+1</f>
        <v>2</v>
      </c>
      <c r="AA5" s="27" t="n">
        <f aca="false">INT((24)/12)+1</f>
        <v>3</v>
      </c>
      <c r="AB5" s="27" t="n">
        <f aca="false">INT((25)/12)+1</f>
        <v>3</v>
      </c>
      <c r="AC5" s="27" t="n">
        <f aca="false">INT((26)/12)+1</f>
        <v>3</v>
      </c>
      <c r="AD5" s="27" t="n">
        <f aca="false">INT((27)/12)+1</f>
        <v>3</v>
      </c>
      <c r="AE5" s="27" t="n">
        <f aca="false">INT((28)/12)+1</f>
        <v>3</v>
      </c>
      <c r="AF5" s="27" t="n">
        <f aca="false">INT((29)/12)+1</f>
        <v>3</v>
      </c>
      <c r="AG5" s="27" t="n">
        <f aca="false">INT((30)/12)+1</f>
        <v>3</v>
      </c>
      <c r="AH5" s="27" t="n">
        <f aca="false">INT((31)/12)+1</f>
        <v>3</v>
      </c>
      <c r="AI5" s="27" t="n">
        <f aca="false">INT((32)/12)+1</f>
        <v>3</v>
      </c>
      <c r="AJ5" s="27" t="n">
        <f aca="false">INT((33)/12)+1</f>
        <v>3</v>
      </c>
      <c r="AK5" s="27" t="n">
        <f aca="false">INT((34)/12)+1</f>
        <v>3</v>
      </c>
      <c r="AL5" s="27" t="n">
        <f aca="false">INT((35)/12)+1</f>
        <v>3</v>
      </c>
    </row>
    <row r="6" customFormat="false" ht="15" hidden="false" customHeight="false" outlineLevel="0" collapsed="false">
      <c r="A6" s="9" t="s">
        <v>115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</row>
    <row r="7" customFormat="false" ht="15" hidden="false" customHeight="false" outlineLevel="0" collapsed="false">
      <c r="A7" s="3" t="s">
        <v>144</v>
      </c>
      <c r="C7" s="29" t="n">
        <f aca="false">IF(C$3=1,Assumptions!$E$8*Assumptions!$E$9,0)</f>
        <v>6000</v>
      </c>
      <c r="D7" s="29" t="n">
        <f aca="false">IF(D$3=1,Assumptions!$E$8*Assumptions!$E$9,0)</f>
        <v>0</v>
      </c>
      <c r="E7" s="29" t="n">
        <f aca="false">IF(E$3=1,Assumptions!$E$8*Assumptions!$E$9,0)</f>
        <v>0</v>
      </c>
      <c r="F7" s="29" t="n">
        <f aca="false">IF(F$3=1,Assumptions!$E$8*Assumptions!$E$9,0)</f>
        <v>0</v>
      </c>
      <c r="G7" s="29" t="n">
        <f aca="false">IF(G$3=1,Assumptions!$E$8*Assumptions!$E$9,0)</f>
        <v>0</v>
      </c>
      <c r="H7" s="29" t="n">
        <f aca="false">IF(H$3=1,Assumptions!$E$8*Assumptions!$E$9,0)</f>
        <v>0</v>
      </c>
      <c r="I7" s="29" t="n">
        <f aca="false">IF(I$3=1,Assumptions!$E$8*Assumptions!$E$9,0)</f>
        <v>0</v>
      </c>
      <c r="J7" s="29" t="n">
        <f aca="false">IF(J$3=1,Assumptions!$E$8*Assumptions!$E$9,0)</f>
        <v>0</v>
      </c>
      <c r="K7" s="29" t="n">
        <f aca="false">IF(K$3=1,Assumptions!$E$8*Assumptions!$E$9,0)</f>
        <v>0</v>
      </c>
      <c r="L7" s="29" t="n">
        <f aca="false">IF(L$3=1,Assumptions!$E$8*Assumptions!$E$9,0)</f>
        <v>0</v>
      </c>
      <c r="M7" s="29" t="n">
        <f aca="false">IF(M$3=1,Assumptions!$E$8*Assumptions!$E$9,0)</f>
        <v>0</v>
      </c>
      <c r="N7" s="29" t="n">
        <f aca="false">IF(N$3=1,Assumptions!$E$8*Assumptions!$E$9,0)</f>
        <v>0</v>
      </c>
      <c r="O7" s="29" t="n">
        <f aca="false">IF(O$3=1,Assumptions!$E$8*Assumptions!$E$9,0)</f>
        <v>0</v>
      </c>
      <c r="P7" s="29" t="n">
        <f aca="false">IF(P$3=1,Assumptions!$E$8*Assumptions!$E$9,0)</f>
        <v>0</v>
      </c>
      <c r="Q7" s="29" t="n">
        <f aca="false">IF(Q$3=1,Assumptions!$E$8*Assumptions!$E$9,0)</f>
        <v>0</v>
      </c>
      <c r="R7" s="29" t="n">
        <f aca="false">IF(R$3=1,Assumptions!$E$8*Assumptions!$E$9,0)</f>
        <v>0</v>
      </c>
      <c r="S7" s="29" t="n">
        <f aca="false">IF(S$3=1,Assumptions!$E$8*Assumptions!$E$9,0)</f>
        <v>0</v>
      </c>
      <c r="T7" s="29" t="n">
        <f aca="false">IF(T$3=1,Assumptions!$E$8*Assumptions!$E$9,0)</f>
        <v>0</v>
      </c>
      <c r="U7" s="29" t="n">
        <f aca="false">IF(U$3=1,Assumptions!$E$8*Assumptions!$E$9,0)</f>
        <v>0</v>
      </c>
      <c r="V7" s="29" t="n">
        <f aca="false">IF(V$3=1,Assumptions!$E$8*Assumptions!$E$9,0)</f>
        <v>0</v>
      </c>
      <c r="W7" s="29" t="n">
        <f aca="false">IF(W$3=1,Assumptions!$E$8*Assumptions!$E$9,0)</f>
        <v>0</v>
      </c>
      <c r="X7" s="29" t="n">
        <f aca="false">IF(X$3=1,Assumptions!$E$8*Assumptions!$E$9,0)</f>
        <v>0</v>
      </c>
      <c r="Y7" s="29" t="n">
        <f aca="false">IF(Y$3=1,Assumptions!$E$8*Assumptions!$E$9,0)</f>
        <v>0</v>
      </c>
      <c r="Z7" s="29" t="n">
        <f aca="false">IF(Z$3=1,Assumptions!$E$8*Assumptions!$E$9,0)</f>
        <v>0</v>
      </c>
      <c r="AA7" s="29" t="n">
        <f aca="false">IF(AA$3=1,Assumptions!$E$8*Assumptions!$E$9,0)</f>
        <v>0</v>
      </c>
      <c r="AB7" s="29" t="n">
        <f aca="false">IF(AB$3=1,Assumptions!$E$8*Assumptions!$E$9,0)</f>
        <v>0</v>
      </c>
      <c r="AC7" s="29" t="n">
        <f aca="false">IF(AC$3=1,Assumptions!$E$8*Assumptions!$E$9,0)</f>
        <v>0</v>
      </c>
      <c r="AD7" s="29" t="n">
        <f aca="false">IF(AD$3=1,Assumptions!$E$8*Assumptions!$E$9,0)</f>
        <v>0</v>
      </c>
      <c r="AE7" s="29" t="n">
        <f aca="false">IF(AE$3=1,Assumptions!$E$8*Assumptions!$E$9,0)</f>
        <v>0</v>
      </c>
      <c r="AF7" s="29" t="n">
        <f aca="false">IF(AF$3=1,Assumptions!$E$8*Assumptions!$E$9,0)</f>
        <v>0</v>
      </c>
      <c r="AG7" s="29" t="n">
        <f aca="false">IF(AG$3=1,Assumptions!$E$8*Assumptions!$E$9,0)</f>
        <v>0</v>
      </c>
      <c r="AH7" s="29" t="n">
        <f aca="false">IF(AH$3=1,Assumptions!$E$8*Assumptions!$E$9,0)</f>
        <v>0</v>
      </c>
      <c r="AI7" s="29" t="n">
        <f aca="false">IF(AI$3=1,Assumptions!$E$8*Assumptions!$E$9,0)</f>
        <v>0</v>
      </c>
      <c r="AJ7" s="29" t="n">
        <f aca="false">IF(AJ$3=1,Assumptions!$E$8*Assumptions!$E$9,0)</f>
        <v>0</v>
      </c>
      <c r="AK7" s="29" t="n">
        <f aca="false">IF(AK$3=1,Assumptions!$E$8*Assumptions!$E$9,0)</f>
        <v>0</v>
      </c>
      <c r="AL7" s="29" t="n">
        <f aca="false">IF(AL$3=1,Assumptions!$E$8*Assumptions!$E$9,0)</f>
        <v>0</v>
      </c>
    </row>
    <row r="8" customFormat="false" ht="15" hidden="false" customHeight="false" outlineLevel="0" collapsed="false">
      <c r="A8" s="3" t="s">
        <v>145</v>
      </c>
      <c r="C8" s="29" t="n">
        <f aca="false">Assumptions!$E$10*(1+Assumptions!$E$11)^(C$3-1)</f>
        <v>5000</v>
      </c>
      <c r="D8" s="29" t="n">
        <f aca="false">Assumptions!$E$10*(1+Assumptions!$E$11)^(D$3-1)</f>
        <v>5300</v>
      </c>
      <c r="E8" s="29" t="n">
        <f aca="false">Assumptions!$E$10*(1+Assumptions!$E$11)^(E$3-1)</f>
        <v>5618</v>
      </c>
      <c r="F8" s="29" t="n">
        <f aca="false">Assumptions!$E$10*(1+Assumptions!$E$11)^(F$3-1)</f>
        <v>5955.08</v>
      </c>
      <c r="G8" s="29" t="n">
        <f aca="false">Assumptions!$E$10*(1+Assumptions!$E$11)^(G$3-1)</f>
        <v>6312.3848</v>
      </c>
      <c r="H8" s="29" t="n">
        <f aca="false">Assumptions!$E$10*(1+Assumptions!$E$11)^(H$3-1)</f>
        <v>6691.127888</v>
      </c>
      <c r="I8" s="29" t="n">
        <f aca="false">Assumptions!$E$10*(1+Assumptions!$E$11)^(I$3-1)</f>
        <v>7092.59556128</v>
      </c>
      <c r="J8" s="29" t="n">
        <f aca="false">Assumptions!$E$10*(1+Assumptions!$E$11)^(J$3-1)</f>
        <v>7518.1512949568</v>
      </c>
      <c r="K8" s="29" t="n">
        <f aca="false">Assumptions!$E$10*(1+Assumptions!$E$11)^(K$3-1)</f>
        <v>7969.24037265421</v>
      </c>
      <c r="L8" s="29" t="n">
        <f aca="false">Assumptions!$E$10*(1+Assumptions!$E$11)^(L$3-1)</f>
        <v>8447.39479501346</v>
      </c>
      <c r="M8" s="29" t="n">
        <f aca="false">Assumptions!$E$10*(1+Assumptions!$E$11)^(M$3-1)</f>
        <v>8954.23848271427</v>
      </c>
      <c r="N8" s="29" t="n">
        <f aca="false">Assumptions!$E$10*(1+Assumptions!$E$11)^(N$3-1)</f>
        <v>9491.49279167713</v>
      </c>
      <c r="O8" s="29" t="n">
        <f aca="false">Assumptions!$E$10*(1+Assumptions!$E$11)^(O$3-1)</f>
        <v>10060.9823591778</v>
      </c>
      <c r="P8" s="29" t="n">
        <f aca="false">Assumptions!$E$10*(1+Assumptions!$E$11)^(P$3-1)</f>
        <v>10664.6413007284</v>
      </c>
      <c r="Q8" s="29" t="n">
        <f aca="false">Assumptions!$E$10*(1+Assumptions!$E$11)^(Q$3-1)</f>
        <v>11304.5197787721</v>
      </c>
      <c r="R8" s="29" t="n">
        <f aca="false">Assumptions!$E$10*(1+Assumptions!$E$11)^(R$3-1)</f>
        <v>11982.7909654985</v>
      </c>
      <c r="S8" s="29" t="n">
        <f aca="false">Assumptions!$E$10*(1+Assumptions!$E$11)^(S$3-1)</f>
        <v>12701.7584234284</v>
      </c>
      <c r="T8" s="29" t="n">
        <f aca="false">Assumptions!$E$10*(1+Assumptions!$E$11)^(T$3-1)</f>
        <v>13463.8639288341</v>
      </c>
      <c r="U8" s="29" t="n">
        <f aca="false">Assumptions!$E$10*(1+Assumptions!$E$11)^(U$3-1)</f>
        <v>14271.6957645641</v>
      </c>
      <c r="V8" s="29" t="n">
        <f aca="false">Assumptions!$E$10*(1+Assumptions!$E$11)^(V$3-1)</f>
        <v>15127.997510438</v>
      </c>
      <c r="W8" s="29" t="n">
        <f aca="false">Assumptions!$E$10*(1+Assumptions!$E$11)^(W$3-1)</f>
        <v>16035.6773610642</v>
      </c>
      <c r="X8" s="29" t="n">
        <f aca="false">Assumptions!$E$10*(1+Assumptions!$E$11)^(X$3-1)</f>
        <v>16997.8180027281</v>
      </c>
      <c r="Y8" s="29" t="n">
        <f aca="false">Assumptions!$E$10*(1+Assumptions!$E$11)^(Y$3-1)</f>
        <v>18017.6870828918</v>
      </c>
      <c r="Z8" s="29" t="n">
        <f aca="false">Assumptions!$E$10*(1+Assumptions!$E$11)^(Z$3-1)</f>
        <v>19098.7483078653</v>
      </c>
      <c r="AA8" s="29" t="n">
        <f aca="false">Assumptions!$E$10*(1+Assumptions!$E$11)^(AA$3-1)</f>
        <v>20244.6732063372</v>
      </c>
      <c r="AB8" s="29" t="n">
        <f aca="false">Assumptions!$E$10*(1+Assumptions!$E$11)^(AB$3-1)</f>
        <v>21459.3535987174</v>
      </c>
      <c r="AC8" s="29" t="n">
        <f aca="false">Assumptions!$E$10*(1+Assumptions!$E$11)^(AC$3-1)</f>
        <v>22746.9148146405</v>
      </c>
      <c r="AD8" s="29" t="n">
        <f aca="false">Assumptions!$E$10*(1+Assumptions!$E$11)^(AD$3-1)</f>
        <v>24111.7297035189</v>
      </c>
      <c r="AE8" s="29" t="n">
        <f aca="false">Assumptions!$E$10*(1+Assumptions!$E$11)^(AE$3-1)</f>
        <v>25558.4334857301</v>
      </c>
      <c r="AF8" s="29" t="n">
        <f aca="false">Assumptions!$E$10*(1+Assumptions!$E$11)^(AF$3-1)</f>
        <v>27091.9394948739</v>
      </c>
      <c r="AG8" s="29" t="n">
        <f aca="false">Assumptions!$E$10*(1+Assumptions!$E$11)^(AG$3-1)</f>
        <v>28717.4558645663</v>
      </c>
      <c r="AH8" s="29" t="n">
        <f aca="false">Assumptions!$E$10*(1+Assumptions!$E$11)^(AH$3-1)</f>
        <v>30440.5032164403</v>
      </c>
      <c r="AI8" s="29" t="n">
        <f aca="false">Assumptions!$E$10*(1+Assumptions!$E$11)^(AI$3-1)</f>
        <v>32266.9334094267</v>
      </c>
      <c r="AJ8" s="29" t="n">
        <f aca="false">Assumptions!$E$10*(1+Assumptions!$E$11)^(AJ$3-1)</f>
        <v>34202.9494139923</v>
      </c>
      <c r="AK8" s="29" t="n">
        <f aca="false">Assumptions!$E$10*(1+Assumptions!$E$11)^(AK$3-1)</f>
        <v>36255.1263788318</v>
      </c>
      <c r="AL8" s="29" t="n">
        <f aca="false">Assumptions!$E$10*(1+Assumptions!$E$11)^(AL$3-1)</f>
        <v>38430.4339615618</v>
      </c>
    </row>
    <row r="9" customFormat="false" ht="15" hidden="false" customHeight="false" outlineLevel="0" collapsed="false">
      <c r="A9" s="3" t="s">
        <v>146</v>
      </c>
      <c r="C9" s="30" t="n">
        <f aca="false">CHOOSE(MIN(C$5,3),Assumptions!$E$12,Assumptions!$E$13,Assumptions!$E$14)</f>
        <v>10000</v>
      </c>
      <c r="D9" s="30" t="n">
        <f aca="false">CHOOSE(MIN(D$5,3),Assumptions!$E$12,Assumptions!$E$13,Assumptions!$E$14)</f>
        <v>10000</v>
      </c>
      <c r="E9" s="30" t="n">
        <f aca="false">CHOOSE(MIN(E$5,3),Assumptions!$E$12,Assumptions!$E$13,Assumptions!$E$14)</f>
        <v>10000</v>
      </c>
      <c r="F9" s="30" t="n">
        <f aca="false">CHOOSE(MIN(F$5,3),Assumptions!$E$12,Assumptions!$E$13,Assumptions!$E$14)</f>
        <v>10000</v>
      </c>
      <c r="G9" s="30" t="n">
        <f aca="false">CHOOSE(MIN(G$5,3),Assumptions!$E$12,Assumptions!$E$13,Assumptions!$E$14)</f>
        <v>10000</v>
      </c>
      <c r="H9" s="30" t="n">
        <f aca="false">CHOOSE(MIN(H$5,3),Assumptions!$E$12,Assumptions!$E$13,Assumptions!$E$14)</f>
        <v>10000</v>
      </c>
      <c r="I9" s="30" t="n">
        <f aca="false">CHOOSE(MIN(I$5,3),Assumptions!$E$12,Assumptions!$E$13,Assumptions!$E$14)</f>
        <v>10000</v>
      </c>
      <c r="J9" s="30" t="n">
        <f aca="false">CHOOSE(MIN(J$5,3),Assumptions!$E$12,Assumptions!$E$13,Assumptions!$E$14)</f>
        <v>10000</v>
      </c>
      <c r="K9" s="30" t="n">
        <f aca="false">CHOOSE(MIN(K$5,3),Assumptions!$E$12,Assumptions!$E$13,Assumptions!$E$14)</f>
        <v>10000</v>
      </c>
      <c r="L9" s="30" t="n">
        <f aca="false">CHOOSE(MIN(L$5,3),Assumptions!$E$12,Assumptions!$E$13,Assumptions!$E$14)</f>
        <v>10000</v>
      </c>
      <c r="M9" s="30" t="n">
        <f aca="false">CHOOSE(MIN(M$5,3),Assumptions!$E$12,Assumptions!$E$13,Assumptions!$E$14)</f>
        <v>10000</v>
      </c>
      <c r="N9" s="30" t="n">
        <f aca="false">CHOOSE(MIN(N$5,3),Assumptions!$E$12,Assumptions!$E$13,Assumptions!$E$14)</f>
        <v>10000</v>
      </c>
      <c r="O9" s="30" t="n">
        <f aca="false">CHOOSE(MIN(O$5,3),Assumptions!$E$12,Assumptions!$E$13,Assumptions!$E$14)</f>
        <v>25000</v>
      </c>
      <c r="P9" s="30" t="n">
        <f aca="false">CHOOSE(MIN(P$5,3),Assumptions!$E$12,Assumptions!$E$13,Assumptions!$E$14)</f>
        <v>25000</v>
      </c>
      <c r="Q9" s="30" t="n">
        <f aca="false">CHOOSE(MIN(Q$5,3),Assumptions!$E$12,Assumptions!$E$13,Assumptions!$E$14)</f>
        <v>25000</v>
      </c>
      <c r="R9" s="30" t="n">
        <f aca="false">CHOOSE(MIN(R$5,3),Assumptions!$E$12,Assumptions!$E$13,Assumptions!$E$14)</f>
        <v>25000</v>
      </c>
      <c r="S9" s="30" t="n">
        <f aca="false">CHOOSE(MIN(S$5,3),Assumptions!$E$12,Assumptions!$E$13,Assumptions!$E$14)</f>
        <v>25000</v>
      </c>
      <c r="T9" s="30" t="n">
        <f aca="false">CHOOSE(MIN(T$5,3),Assumptions!$E$12,Assumptions!$E$13,Assumptions!$E$14)</f>
        <v>25000</v>
      </c>
      <c r="U9" s="30" t="n">
        <f aca="false">CHOOSE(MIN(U$5,3),Assumptions!$E$12,Assumptions!$E$13,Assumptions!$E$14)</f>
        <v>25000</v>
      </c>
      <c r="V9" s="30" t="n">
        <f aca="false">CHOOSE(MIN(V$5,3),Assumptions!$E$12,Assumptions!$E$13,Assumptions!$E$14)</f>
        <v>25000</v>
      </c>
      <c r="W9" s="30" t="n">
        <f aca="false">CHOOSE(MIN(W$5,3),Assumptions!$E$12,Assumptions!$E$13,Assumptions!$E$14)</f>
        <v>25000</v>
      </c>
      <c r="X9" s="30" t="n">
        <f aca="false">CHOOSE(MIN(X$5,3),Assumptions!$E$12,Assumptions!$E$13,Assumptions!$E$14)</f>
        <v>25000</v>
      </c>
      <c r="Y9" s="30" t="n">
        <f aca="false">CHOOSE(MIN(Y$5,3),Assumptions!$E$12,Assumptions!$E$13,Assumptions!$E$14)</f>
        <v>25000</v>
      </c>
      <c r="Z9" s="30" t="n">
        <f aca="false">CHOOSE(MIN(Z$5,3),Assumptions!$E$12,Assumptions!$E$13,Assumptions!$E$14)</f>
        <v>25000</v>
      </c>
      <c r="AA9" s="30" t="n">
        <f aca="false">CHOOSE(MIN(AA$5,3),Assumptions!$E$12,Assumptions!$E$13,Assumptions!$E$14)</f>
        <v>50000</v>
      </c>
      <c r="AB9" s="30" t="n">
        <f aca="false">CHOOSE(MIN(AB$5,3),Assumptions!$E$12,Assumptions!$E$13,Assumptions!$E$14)</f>
        <v>50000</v>
      </c>
      <c r="AC9" s="30" t="n">
        <f aca="false">CHOOSE(MIN(AC$5,3),Assumptions!$E$12,Assumptions!$E$13,Assumptions!$E$14)</f>
        <v>50000</v>
      </c>
      <c r="AD9" s="30" t="n">
        <f aca="false">CHOOSE(MIN(AD$5,3),Assumptions!$E$12,Assumptions!$E$13,Assumptions!$E$14)</f>
        <v>50000</v>
      </c>
      <c r="AE9" s="30" t="n">
        <f aca="false">CHOOSE(MIN(AE$5,3),Assumptions!$E$12,Assumptions!$E$13,Assumptions!$E$14)</f>
        <v>50000</v>
      </c>
      <c r="AF9" s="30" t="n">
        <f aca="false">CHOOSE(MIN(AF$5,3),Assumptions!$E$12,Assumptions!$E$13,Assumptions!$E$14)</f>
        <v>50000</v>
      </c>
      <c r="AG9" s="30" t="n">
        <f aca="false">CHOOSE(MIN(AG$5,3),Assumptions!$E$12,Assumptions!$E$13,Assumptions!$E$14)</f>
        <v>50000</v>
      </c>
      <c r="AH9" s="30" t="n">
        <f aca="false">CHOOSE(MIN(AH$5,3),Assumptions!$E$12,Assumptions!$E$13,Assumptions!$E$14)</f>
        <v>50000</v>
      </c>
      <c r="AI9" s="30" t="n">
        <f aca="false">CHOOSE(MIN(AI$5,3),Assumptions!$E$12,Assumptions!$E$13,Assumptions!$E$14)</f>
        <v>50000</v>
      </c>
      <c r="AJ9" s="30" t="n">
        <f aca="false">CHOOSE(MIN(AJ$5,3),Assumptions!$E$12,Assumptions!$E$13,Assumptions!$E$14)</f>
        <v>50000</v>
      </c>
      <c r="AK9" s="30" t="n">
        <f aca="false">CHOOSE(MIN(AK$5,3),Assumptions!$E$12,Assumptions!$E$13,Assumptions!$E$14)</f>
        <v>50000</v>
      </c>
      <c r="AL9" s="30" t="n">
        <f aca="false">CHOOSE(MIN(AL$5,3),Assumptions!$E$12,Assumptions!$E$13,Assumptions!$E$14)</f>
        <v>50000</v>
      </c>
    </row>
    <row r="10" customFormat="false" ht="15" hidden="false" customHeight="false" outlineLevel="0" collapsed="false">
      <c r="A10" s="3" t="s">
        <v>147</v>
      </c>
      <c r="C10" s="29" t="n">
        <f aca="false">IFERROR(C9/Assumptions!$E$15,0)</f>
        <v>3636.36363636364</v>
      </c>
      <c r="D10" s="29" t="n">
        <f aca="false">IFERROR(D9/Assumptions!$E$15,0)</f>
        <v>3636.36363636364</v>
      </c>
      <c r="E10" s="29" t="n">
        <f aca="false">IFERROR(E9/Assumptions!$E$15,0)</f>
        <v>3636.36363636364</v>
      </c>
      <c r="F10" s="29" t="n">
        <f aca="false">IFERROR(F9/Assumptions!$E$15,0)</f>
        <v>3636.36363636364</v>
      </c>
      <c r="G10" s="29" t="n">
        <f aca="false">IFERROR(G9/Assumptions!$E$15,0)</f>
        <v>3636.36363636364</v>
      </c>
      <c r="H10" s="29" t="n">
        <f aca="false">IFERROR(H9/Assumptions!$E$15,0)</f>
        <v>3636.36363636364</v>
      </c>
      <c r="I10" s="29" t="n">
        <f aca="false">IFERROR(I9/Assumptions!$E$15,0)</f>
        <v>3636.36363636364</v>
      </c>
      <c r="J10" s="29" t="n">
        <f aca="false">IFERROR(J9/Assumptions!$E$15,0)</f>
        <v>3636.36363636364</v>
      </c>
      <c r="K10" s="29" t="n">
        <f aca="false">IFERROR(K9/Assumptions!$E$15,0)</f>
        <v>3636.36363636364</v>
      </c>
      <c r="L10" s="29" t="n">
        <f aca="false">IFERROR(L9/Assumptions!$E$15,0)</f>
        <v>3636.36363636364</v>
      </c>
      <c r="M10" s="29" t="n">
        <f aca="false">IFERROR(M9/Assumptions!$E$15,0)</f>
        <v>3636.36363636364</v>
      </c>
      <c r="N10" s="29" t="n">
        <f aca="false">IFERROR(N9/Assumptions!$E$15,0)</f>
        <v>3636.36363636364</v>
      </c>
      <c r="O10" s="29" t="n">
        <f aca="false">IFERROR(O9/Assumptions!$E$15,0)</f>
        <v>9090.90909090909</v>
      </c>
      <c r="P10" s="29" t="n">
        <f aca="false">IFERROR(P9/Assumptions!$E$15,0)</f>
        <v>9090.90909090909</v>
      </c>
      <c r="Q10" s="29" t="n">
        <f aca="false">IFERROR(Q9/Assumptions!$E$15,0)</f>
        <v>9090.90909090909</v>
      </c>
      <c r="R10" s="29" t="n">
        <f aca="false">IFERROR(R9/Assumptions!$E$15,0)</f>
        <v>9090.90909090909</v>
      </c>
      <c r="S10" s="29" t="n">
        <f aca="false">IFERROR(S9/Assumptions!$E$15,0)</f>
        <v>9090.90909090909</v>
      </c>
      <c r="T10" s="29" t="n">
        <f aca="false">IFERROR(T9/Assumptions!$E$15,0)</f>
        <v>9090.90909090909</v>
      </c>
      <c r="U10" s="29" t="n">
        <f aca="false">IFERROR(U9/Assumptions!$E$15,0)</f>
        <v>9090.90909090909</v>
      </c>
      <c r="V10" s="29" t="n">
        <f aca="false">IFERROR(V9/Assumptions!$E$15,0)</f>
        <v>9090.90909090909</v>
      </c>
      <c r="W10" s="29" t="n">
        <f aca="false">IFERROR(W9/Assumptions!$E$15,0)</f>
        <v>9090.90909090909</v>
      </c>
      <c r="X10" s="29" t="n">
        <f aca="false">IFERROR(X9/Assumptions!$E$15,0)</f>
        <v>9090.90909090909</v>
      </c>
      <c r="Y10" s="29" t="n">
        <f aca="false">IFERROR(Y9/Assumptions!$E$15,0)</f>
        <v>9090.90909090909</v>
      </c>
      <c r="Z10" s="29" t="n">
        <f aca="false">IFERROR(Z9/Assumptions!$E$15,0)</f>
        <v>9090.90909090909</v>
      </c>
      <c r="AA10" s="29" t="n">
        <f aca="false">IFERROR(AA9/Assumptions!$E$15,0)</f>
        <v>18181.8181818182</v>
      </c>
      <c r="AB10" s="29" t="n">
        <f aca="false">IFERROR(AB9/Assumptions!$E$15,0)</f>
        <v>18181.8181818182</v>
      </c>
      <c r="AC10" s="29" t="n">
        <f aca="false">IFERROR(AC9/Assumptions!$E$15,0)</f>
        <v>18181.8181818182</v>
      </c>
      <c r="AD10" s="29" t="n">
        <f aca="false">IFERROR(AD9/Assumptions!$E$15,0)</f>
        <v>18181.8181818182</v>
      </c>
      <c r="AE10" s="29" t="n">
        <f aca="false">IFERROR(AE9/Assumptions!$E$15,0)</f>
        <v>18181.8181818182</v>
      </c>
      <c r="AF10" s="29" t="n">
        <f aca="false">IFERROR(AF9/Assumptions!$E$15,0)</f>
        <v>18181.8181818182</v>
      </c>
      <c r="AG10" s="29" t="n">
        <f aca="false">IFERROR(AG9/Assumptions!$E$15,0)</f>
        <v>18181.8181818182</v>
      </c>
      <c r="AH10" s="29" t="n">
        <f aca="false">IFERROR(AH9/Assumptions!$E$15,0)</f>
        <v>18181.8181818182</v>
      </c>
      <c r="AI10" s="29" t="n">
        <f aca="false">IFERROR(AI9/Assumptions!$E$15,0)</f>
        <v>18181.8181818182</v>
      </c>
      <c r="AJ10" s="29" t="n">
        <f aca="false">IFERROR(AJ9/Assumptions!$E$15,0)</f>
        <v>18181.8181818182</v>
      </c>
      <c r="AK10" s="29" t="n">
        <f aca="false">IFERROR(AK9/Assumptions!$E$15,0)</f>
        <v>18181.8181818182</v>
      </c>
      <c r="AL10" s="29" t="n">
        <f aca="false">IFERROR(AL9/Assumptions!$E$15,0)</f>
        <v>18181.8181818182</v>
      </c>
    </row>
    <row r="11" customFormat="false" ht="15" hidden="false" customHeight="false" outlineLevel="0" collapsed="false">
      <c r="A11" s="3" t="s">
        <v>148</v>
      </c>
      <c r="C11" s="29" t="n">
        <f aca="false">IF(AND(C$3&gt;=3,MOD(C$3-3,Assumptions!$E$16)=0),1,0)</f>
        <v>0</v>
      </c>
      <c r="D11" s="29" t="n">
        <f aca="false">IF(AND(D$3&gt;=3,MOD(D$3-3,Assumptions!$E$16)=0),1,0)</f>
        <v>0</v>
      </c>
      <c r="E11" s="29" t="n">
        <f aca="false">IF(AND(E$3&gt;=3,MOD(E$3-3,Assumptions!$E$16)=0),1,0)</f>
        <v>1</v>
      </c>
      <c r="F11" s="29" t="n">
        <f aca="false">IF(AND(F$3&gt;=3,MOD(F$3-3,Assumptions!$E$16)=0),1,0)</f>
        <v>0</v>
      </c>
      <c r="G11" s="29" t="n">
        <f aca="false">IF(AND(G$3&gt;=3,MOD(G$3-3,Assumptions!$E$16)=0),1,0)</f>
        <v>0</v>
      </c>
      <c r="H11" s="29" t="n">
        <f aca="false">IF(AND(H$3&gt;=3,MOD(H$3-3,Assumptions!$E$16)=0),1,0)</f>
        <v>1</v>
      </c>
      <c r="I11" s="29" t="n">
        <f aca="false">IF(AND(I$3&gt;=3,MOD(I$3-3,Assumptions!$E$16)=0),1,0)</f>
        <v>0</v>
      </c>
      <c r="J11" s="29" t="n">
        <f aca="false">IF(AND(J$3&gt;=3,MOD(J$3-3,Assumptions!$E$16)=0),1,0)</f>
        <v>0</v>
      </c>
      <c r="K11" s="29" t="n">
        <f aca="false">IF(AND(K$3&gt;=3,MOD(K$3-3,Assumptions!$E$16)=0),1,0)</f>
        <v>1</v>
      </c>
      <c r="L11" s="29" t="n">
        <f aca="false">IF(AND(L$3&gt;=3,MOD(L$3-3,Assumptions!$E$16)=0),1,0)</f>
        <v>0</v>
      </c>
      <c r="M11" s="29" t="n">
        <f aca="false">IF(AND(M$3&gt;=3,MOD(M$3-3,Assumptions!$E$16)=0),1,0)</f>
        <v>0</v>
      </c>
      <c r="N11" s="29" t="n">
        <f aca="false">IF(AND(N$3&gt;=3,MOD(N$3-3,Assumptions!$E$16)=0),1,0)</f>
        <v>1</v>
      </c>
      <c r="O11" s="29" t="n">
        <f aca="false">IF(AND(O$3&gt;=3,MOD(O$3-3,Assumptions!$E$16)=0),1,0)</f>
        <v>0</v>
      </c>
      <c r="P11" s="29" t="n">
        <f aca="false">IF(AND(P$3&gt;=3,MOD(P$3-3,Assumptions!$E$16)=0),1,0)</f>
        <v>0</v>
      </c>
      <c r="Q11" s="29" t="n">
        <f aca="false">IF(AND(Q$3&gt;=3,MOD(Q$3-3,Assumptions!$E$16)=0),1,0)</f>
        <v>1</v>
      </c>
      <c r="R11" s="29" t="n">
        <f aca="false">IF(AND(R$3&gt;=3,MOD(R$3-3,Assumptions!$E$16)=0),1,0)</f>
        <v>0</v>
      </c>
      <c r="S11" s="29" t="n">
        <f aca="false">IF(AND(S$3&gt;=3,MOD(S$3-3,Assumptions!$E$16)=0),1,0)</f>
        <v>0</v>
      </c>
      <c r="T11" s="29" t="n">
        <f aca="false">IF(AND(T$3&gt;=3,MOD(T$3-3,Assumptions!$E$16)=0),1,0)</f>
        <v>1</v>
      </c>
      <c r="U11" s="29" t="n">
        <f aca="false">IF(AND(U$3&gt;=3,MOD(U$3-3,Assumptions!$E$16)=0),1,0)</f>
        <v>0</v>
      </c>
      <c r="V11" s="29" t="n">
        <f aca="false">IF(AND(V$3&gt;=3,MOD(V$3-3,Assumptions!$E$16)=0),1,0)</f>
        <v>0</v>
      </c>
      <c r="W11" s="29" t="n">
        <f aca="false">IF(AND(W$3&gt;=3,MOD(W$3-3,Assumptions!$E$16)=0),1,0)</f>
        <v>1</v>
      </c>
      <c r="X11" s="29" t="n">
        <f aca="false">IF(AND(X$3&gt;=3,MOD(X$3-3,Assumptions!$E$16)=0),1,0)</f>
        <v>0</v>
      </c>
      <c r="Y11" s="29" t="n">
        <f aca="false">IF(AND(Y$3&gt;=3,MOD(Y$3-3,Assumptions!$E$16)=0),1,0)</f>
        <v>0</v>
      </c>
      <c r="Z11" s="29" t="n">
        <f aca="false">IF(AND(Z$3&gt;=3,MOD(Z$3-3,Assumptions!$E$16)=0),1,0)</f>
        <v>1</v>
      </c>
      <c r="AA11" s="29" t="n">
        <f aca="false">IF(AND(AA$3&gt;=3,MOD(AA$3-3,Assumptions!$E$16)=0),1,0)</f>
        <v>0</v>
      </c>
      <c r="AB11" s="29" t="n">
        <f aca="false">IF(AND(AB$3&gt;=3,MOD(AB$3-3,Assumptions!$E$16)=0),1,0)</f>
        <v>0</v>
      </c>
      <c r="AC11" s="29" t="n">
        <f aca="false">IF(AND(AC$3&gt;=3,MOD(AC$3-3,Assumptions!$E$16)=0),1,0)</f>
        <v>1</v>
      </c>
      <c r="AD11" s="29" t="n">
        <f aca="false">IF(AND(AD$3&gt;=3,MOD(AD$3-3,Assumptions!$E$16)=0),1,0)</f>
        <v>0</v>
      </c>
      <c r="AE11" s="29" t="n">
        <f aca="false">IF(AND(AE$3&gt;=3,MOD(AE$3-3,Assumptions!$E$16)=0),1,0)</f>
        <v>0</v>
      </c>
      <c r="AF11" s="29" t="n">
        <f aca="false">IF(AND(AF$3&gt;=3,MOD(AF$3-3,Assumptions!$E$16)=0),1,0)</f>
        <v>1</v>
      </c>
      <c r="AG11" s="29" t="n">
        <f aca="false">IF(AND(AG$3&gt;=3,MOD(AG$3-3,Assumptions!$E$16)=0),1,0)</f>
        <v>0</v>
      </c>
      <c r="AH11" s="29" t="n">
        <f aca="false">IF(AND(AH$3&gt;=3,MOD(AH$3-3,Assumptions!$E$16)=0),1,0)</f>
        <v>0</v>
      </c>
      <c r="AI11" s="29" t="n">
        <f aca="false">IF(AND(AI$3&gt;=3,MOD(AI$3-3,Assumptions!$E$16)=0),1,0)</f>
        <v>1</v>
      </c>
      <c r="AJ11" s="29" t="n">
        <f aca="false">IF(AND(AJ$3&gt;=3,MOD(AJ$3-3,Assumptions!$E$16)=0),1,0)</f>
        <v>0</v>
      </c>
      <c r="AK11" s="29" t="n">
        <f aca="false">IF(AND(AK$3&gt;=3,MOD(AK$3-3,Assumptions!$E$16)=0),1,0)</f>
        <v>0</v>
      </c>
      <c r="AL11" s="29" t="n">
        <f aca="false">IF(AND(AL$3&gt;=3,MOD(AL$3-3,Assumptions!$E$16)=0),1,0)</f>
        <v>1</v>
      </c>
    </row>
    <row r="12" customFormat="false" ht="15" hidden="false" customHeight="false" outlineLevel="0" collapsed="false">
      <c r="A12" s="3" t="s">
        <v>149</v>
      </c>
      <c r="C12" s="29" t="n">
        <f aca="false">C11*Assumptions!$E$18</f>
        <v>0</v>
      </c>
      <c r="D12" s="29" t="n">
        <f aca="false">D11*Assumptions!$E$18</f>
        <v>0</v>
      </c>
      <c r="E12" s="29" t="n">
        <f aca="false">E11*Assumptions!$E$18</f>
        <v>15000</v>
      </c>
      <c r="F12" s="29" t="n">
        <f aca="false">F11*Assumptions!$E$18</f>
        <v>0</v>
      </c>
      <c r="G12" s="29" t="n">
        <f aca="false">G11*Assumptions!$E$18</f>
        <v>0</v>
      </c>
      <c r="H12" s="29" t="n">
        <f aca="false">H11*Assumptions!$E$18</f>
        <v>15000</v>
      </c>
      <c r="I12" s="29" t="n">
        <f aca="false">I11*Assumptions!$E$18</f>
        <v>0</v>
      </c>
      <c r="J12" s="29" t="n">
        <f aca="false">J11*Assumptions!$E$18</f>
        <v>0</v>
      </c>
      <c r="K12" s="29" t="n">
        <f aca="false">K11*Assumptions!$E$18</f>
        <v>15000</v>
      </c>
      <c r="L12" s="29" t="n">
        <f aca="false">L11*Assumptions!$E$18</f>
        <v>0</v>
      </c>
      <c r="M12" s="29" t="n">
        <f aca="false">M11*Assumptions!$E$18</f>
        <v>0</v>
      </c>
      <c r="N12" s="29" t="n">
        <f aca="false">N11*Assumptions!$E$18</f>
        <v>15000</v>
      </c>
      <c r="O12" s="29" t="n">
        <f aca="false">O11*Assumptions!$E$18</f>
        <v>0</v>
      </c>
      <c r="P12" s="29" t="n">
        <f aca="false">P11*Assumptions!$E$18</f>
        <v>0</v>
      </c>
      <c r="Q12" s="29" t="n">
        <f aca="false">Q11*Assumptions!$E$18</f>
        <v>15000</v>
      </c>
      <c r="R12" s="29" t="n">
        <f aca="false">R11*Assumptions!$E$18</f>
        <v>0</v>
      </c>
      <c r="S12" s="29" t="n">
        <f aca="false">S11*Assumptions!$E$18</f>
        <v>0</v>
      </c>
      <c r="T12" s="29" t="n">
        <f aca="false">T11*Assumptions!$E$18</f>
        <v>15000</v>
      </c>
      <c r="U12" s="29" t="n">
        <f aca="false">U11*Assumptions!$E$18</f>
        <v>0</v>
      </c>
      <c r="V12" s="29" t="n">
        <f aca="false">V11*Assumptions!$E$18</f>
        <v>0</v>
      </c>
      <c r="W12" s="29" t="n">
        <f aca="false">W11*Assumptions!$E$18</f>
        <v>15000</v>
      </c>
      <c r="X12" s="29" t="n">
        <f aca="false">X11*Assumptions!$E$18</f>
        <v>0</v>
      </c>
      <c r="Y12" s="29" t="n">
        <f aca="false">Y11*Assumptions!$E$18</f>
        <v>0</v>
      </c>
      <c r="Z12" s="29" t="n">
        <f aca="false">Z11*Assumptions!$E$18</f>
        <v>15000</v>
      </c>
      <c r="AA12" s="29" t="n">
        <f aca="false">AA11*Assumptions!$E$18</f>
        <v>0</v>
      </c>
      <c r="AB12" s="29" t="n">
        <f aca="false">AB11*Assumptions!$E$18</f>
        <v>0</v>
      </c>
      <c r="AC12" s="29" t="n">
        <f aca="false">AC11*Assumptions!$E$18</f>
        <v>15000</v>
      </c>
      <c r="AD12" s="29" t="n">
        <f aca="false">AD11*Assumptions!$E$18</f>
        <v>0</v>
      </c>
      <c r="AE12" s="29" t="n">
        <f aca="false">AE11*Assumptions!$E$18</f>
        <v>0</v>
      </c>
      <c r="AF12" s="29" t="n">
        <f aca="false">AF11*Assumptions!$E$18</f>
        <v>15000</v>
      </c>
      <c r="AG12" s="29" t="n">
        <f aca="false">AG11*Assumptions!$E$18</f>
        <v>0</v>
      </c>
      <c r="AH12" s="29" t="n">
        <f aca="false">AH11*Assumptions!$E$18</f>
        <v>0</v>
      </c>
      <c r="AI12" s="29" t="n">
        <f aca="false">AI11*Assumptions!$E$18</f>
        <v>15000</v>
      </c>
      <c r="AJ12" s="29" t="n">
        <f aca="false">AJ11*Assumptions!$E$18</f>
        <v>0</v>
      </c>
      <c r="AK12" s="29" t="n">
        <f aca="false">AK11*Assumptions!$E$18</f>
        <v>0</v>
      </c>
      <c r="AL12" s="29" t="n">
        <f aca="false">AL11*Assumptions!$E$18</f>
        <v>15000</v>
      </c>
    </row>
    <row r="13" customFormat="false" ht="15" hidden="false" customHeight="false" outlineLevel="0" collapsed="false">
      <c r="A13" s="1" t="s">
        <v>150</v>
      </c>
      <c r="C13" s="31" t="n">
        <f aca="false">C7+C8+C10+C12</f>
        <v>14636.3636363636</v>
      </c>
      <c r="D13" s="31" t="n">
        <f aca="false">D7+D8+D10+D12</f>
        <v>8936.36363636364</v>
      </c>
      <c r="E13" s="31" t="n">
        <f aca="false">E7+E8+E10+E12</f>
        <v>24254.3636363636</v>
      </c>
      <c r="F13" s="31" t="n">
        <f aca="false">F7+F8+F10+F12</f>
        <v>9591.44363636364</v>
      </c>
      <c r="G13" s="31" t="n">
        <f aca="false">G7+G8+G10+G12</f>
        <v>9948.74843636364</v>
      </c>
      <c r="H13" s="31" t="n">
        <f aca="false">H7+H8+H10+H12</f>
        <v>25327.4915243636</v>
      </c>
      <c r="I13" s="31" t="n">
        <f aca="false">I7+I8+I10+I12</f>
        <v>10728.9591976436</v>
      </c>
      <c r="J13" s="31" t="n">
        <f aca="false">J7+J8+J10+J12</f>
        <v>11154.5149313204</v>
      </c>
      <c r="K13" s="31" t="n">
        <f aca="false">K7+K8+K10+K12</f>
        <v>26605.6040090179</v>
      </c>
      <c r="L13" s="31" t="n">
        <f aca="false">L7+L8+L10+L12</f>
        <v>12083.7584313771</v>
      </c>
      <c r="M13" s="31" t="n">
        <f aca="false">M7+M8+M10+M12</f>
        <v>12590.6021190779</v>
      </c>
      <c r="N13" s="31" t="n">
        <f aca="false">N7+N8+N10+N12</f>
        <v>28127.8564280408</v>
      </c>
      <c r="O13" s="31" t="n">
        <f aca="false">O7+O8+O10+O12</f>
        <v>19151.8914500869</v>
      </c>
      <c r="P13" s="31" t="n">
        <f aca="false">P7+P8+P10+P12</f>
        <v>19755.5503916375</v>
      </c>
      <c r="Q13" s="31" t="n">
        <f aca="false">Q7+Q8+Q10+Q12</f>
        <v>35395.4288696812</v>
      </c>
      <c r="R13" s="31" t="n">
        <f aca="false">R7+R8+R10+R12</f>
        <v>21073.7000564076</v>
      </c>
      <c r="S13" s="31" t="n">
        <f aca="false">S7+S8+S10+S12</f>
        <v>21792.6675143375</v>
      </c>
      <c r="T13" s="31" t="n">
        <f aca="false">T7+T8+T10+T12</f>
        <v>37554.7730197432</v>
      </c>
      <c r="U13" s="31" t="n">
        <f aca="false">U7+U8+U10+U12</f>
        <v>23362.6048554732</v>
      </c>
      <c r="V13" s="31" t="n">
        <f aca="false">V7+V8+V10+V12</f>
        <v>24218.9066013471</v>
      </c>
      <c r="W13" s="31" t="n">
        <f aca="false">W7+W8+W10+W12</f>
        <v>40126.5864519733</v>
      </c>
      <c r="X13" s="31" t="n">
        <f aca="false">X7+X8+X10+X12</f>
        <v>26088.7270936372</v>
      </c>
      <c r="Y13" s="31" t="n">
        <f aca="false">Y7+Y8+Y10+Y12</f>
        <v>27108.5961738009</v>
      </c>
      <c r="Z13" s="31" t="n">
        <f aca="false">Z7+Z8+Z10+Z12</f>
        <v>43189.6573987744</v>
      </c>
      <c r="AA13" s="31" t="n">
        <f aca="false">AA7+AA8+AA10+AA12</f>
        <v>38426.4913881554</v>
      </c>
      <c r="AB13" s="31" t="n">
        <f aca="false">AB7+AB8+AB10+AB12</f>
        <v>39641.1717805356</v>
      </c>
      <c r="AC13" s="31" t="n">
        <f aca="false">AC7+AC8+AC10+AC12</f>
        <v>55928.7329964587</v>
      </c>
      <c r="AD13" s="31" t="n">
        <f aca="false">AD7+AD8+AD10+AD12</f>
        <v>42293.5478853371</v>
      </c>
      <c r="AE13" s="31" t="n">
        <f aca="false">AE7+AE8+AE10+AE12</f>
        <v>43740.2516675482</v>
      </c>
      <c r="AF13" s="31" t="n">
        <f aca="false">AF7+AF8+AF10+AF12</f>
        <v>60273.757676692</v>
      </c>
      <c r="AG13" s="31" t="n">
        <f aca="false">AG7+AG8+AG10+AG12</f>
        <v>46899.2740463845</v>
      </c>
      <c r="AH13" s="31" t="n">
        <f aca="false">AH7+AH8+AH10+AH12</f>
        <v>48622.3213982585</v>
      </c>
      <c r="AI13" s="31" t="n">
        <f aca="false">AI7+AI8+AI10+AI12</f>
        <v>65448.7515912449</v>
      </c>
      <c r="AJ13" s="31" t="n">
        <f aca="false">AJ7+AJ8+AJ10+AJ12</f>
        <v>52384.7675958105</v>
      </c>
      <c r="AK13" s="31" t="n">
        <f aca="false">AK7+AK8+AK10+AK12</f>
        <v>54436.94456065</v>
      </c>
      <c r="AL13" s="31" t="n">
        <f aca="false">AL7+AL8+AL10+AL12</f>
        <v>71612.2521433799</v>
      </c>
    </row>
    <row r="14" customFormat="false" ht="15" hidden="false" customHeight="false" outlineLevel="0" collapsed="false">
      <c r="A14" s="3" t="s">
        <v>151</v>
      </c>
      <c r="C14" s="29" t="n">
        <f aca="false">C13</f>
        <v>14636.3636363636</v>
      </c>
      <c r="D14" s="29" t="n">
        <f aca="false">C14+D13</f>
        <v>23572.7272727273</v>
      </c>
      <c r="E14" s="29" t="n">
        <f aca="false">D14+E13</f>
        <v>47827.0909090909</v>
      </c>
      <c r="F14" s="29" t="n">
        <f aca="false">E14+F13</f>
        <v>57418.5345454545</v>
      </c>
      <c r="G14" s="29" t="n">
        <f aca="false">F14+G13</f>
        <v>67367.2829818182</v>
      </c>
      <c r="H14" s="29" t="n">
        <f aca="false">G14+H13</f>
        <v>92694.7745061818</v>
      </c>
      <c r="I14" s="29" t="n">
        <f aca="false">H14+I13</f>
        <v>103423.733703825</v>
      </c>
      <c r="J14" s="29" t="n">
        <f aca="false">I14+J13</f>
        <v>114578.248635146</v>
      </c>
      <c r="K14" s="29" t="n">
        <f aca="false">J14+K13</f>
        <v>141183.852644164</v>
      </c>
      <c r="L14" s="29" t="n">
        <f aca="false">K14+L13</f>
        <v>153267.611075541</v>
      </c>
      <c r="M14" s="29" t="n">
        <f aca="false">L14+M13</f>
        <v>165858.213194619</v>
      </c>
      <c r="N14" s="29" t="n">
        <f aca="false">M14+N13</f>
        <v>193986.06962266</v>
      </c>
      <c r="O14" s="29" t="n">
        <f aca="false">N14+O13</f>
        <v>213137.961072746</v>
      </c>
      <c r="P14" s="29" t="n">
        <f aca="false">O14+P13</f>
        <v>232893.511464384</v>
      </c>
      <c r="Q14" s="29" t="n">
        <f aca="false">P14+Q13</f>
        <v>268288.940334065</v>
      </c>
      <c r="R14" s="29" t="n">
        <f aca="false">Q14+R13</f>
        <v>289362.640390473</v>
      </c>
      <c r="S14" s="29" t="n">
        <f aca="false">R14+S13</f>
        <v>311155.30790481</v>
      </c>
      <c r="T14" s="29" t="n">
        <f aca="false">S14+T13</f>
        <v>348710.080924553</v>
      </c>
      <c r="U14" s="29" t="n">
        <f aca="false">T14+U13</f>
        <v>372072.685780026</v>
      </c>
      <c r="V14" s="29" t="n">
        <f aca="false">U14+V13</f>
        <v>396291.592381373</v>
      </c>
      <c r="W14" s="29" t="n">
        <f aca="false">V14+W13</f>
        <v>436418.178833347</v>
      </c>
      <c r="X14" s="29" t="n">
        <f aca="false">W14+X13</f>
        <v>462506.905926984</v>
      </c>
      <c r="Y14" s="29" t="n">
        <f aca="false">X14+Y13</f>
        <v>489615.502100785</v>
      </c>
      <c r="Z14" s="29" t="n">
        <f aca="false">Y14+Z13</f>
        <v>532805.159499559</v>
      </c>
      <c r="AA14" s="29" t="n">
        <f aca="false">Z14+AA13</f>
        <v>571231.650887715</v>
      </c>
      <c r="AB14" s="29" t="n">
        <f aca="false">AA14+AB13</f>
        <v>610872.82266825</v>
      </c>
      <c r="AC14" s="29" t="n">
        <f aca="false">AB14+AC13</f>
        <v>666801.555664709</v>
      </c>
      <c r="AD14" s="29" t="n">
        <f aca="false">AC14+AD13</f>
        <v>709095.103550046</v>
      </c>
      <c r="AE14" s="29" t="n">
        <f aca="false">AD14+AE13</f>
        <v>752835.355217594</v>
      </c>
      <c r="AF14" s="29" t="n">
        <f aca="false">AE14+AF13</f>
        <v>813109.112894286</v>
      </c>
      <c r="AG14" s="29" t="n">
        <f aca="false">AF14+AG13</f>
        <v>860008.386940671</v>
      </c>
      <c r="AH14" s="29" t="n">
        <f aca="false">AG14+AH13</f>
        <v>908630.708338929</v>
      </c>
      <c r="AI14" s="29" t="n">
        <f aca="false">AH14+AI13</f>
        <v>974079.459930174</v>
      </c>
      <c r="AJ14" s="29" t="n">
        <f aca="false">AI14+AJ13</f>
        <v>1026464.22752598</v>
      </c>
      <c r="AK14" s="29" t="n">
        <f aca="false">AJ14+AK13</f>
        <v>1080901.17208663</v>
      </c>
      <c r="AL14" s="29" t="n">
        <f aca="false">AK14+AL13</f>
        <v>1152513.42423001</v>
      </c>
    </row>
    <row r="15" customFormat="false" ht="15" hidden="false" customHeight="false" outlineLevel="0" collapsed="false">
      <c r="A15" s="3" t="s">
        <v>152</v>
      </c>
      <c r="C15" s="29" t="n">
        <f aca="false">C13*Assumptions!$E$19</f>
        <v>5854.54545454546</v>
      </c>
      <c r="D15" s="29" t="n">
        <f aca="false">D13*Assumptions!$E$19</f>
        <v>3574.54545454545</v>
      </c>
      <c r="E15" s="29" t="n">
        <f aca="false">E13*Assumptions!$E$19</f>
        <v>9701.74545454546</v>
      </c>
      <c r="F15" s="29" t="n">
        <f aca="false">F13*Assumptions!$E$19</f>
        <v>3836.57745454545</v>
      </c>
      <c r="G15" s="29" t="n">
        <f aca="false">G13*Assumptions!$E$19</f>
        <v>3979.49937454546</v>
      </c>
      <c r="H15" s="29" t="n">
        <f aca="false">H13*Assumptions!$E$19</f>
        <v>10130.9966097455</v>
      </c>
      <c r="I15" s="29" t="n">
        <f aca="false">I13*Assumptions!$E$19</f>
        <v>4291.58367905746</v>
      </c>
      <c r="J15" s="29" t="n">
        <f aca="false">J13*Assumptions!$E$19</f>
        <v>4461.80597252818</v>
      </c>
      <c r="K15" s="29" t="n">
        <f aca="false">K13*Assumptions!$E$19</f>
        <v>10642.2416036071</v>
      </c>
      <c r="L15" s="29" t="n">
        <f aca="false">L13*Assumptions!$E$19</f>
        <v>4833.50337255084</v>
      </c>
      <c r="M15" s="29" t="n">
        <f aca="false">M13*Assumptions!$E$19</f>
        <v>5036.24084763116</v>
      </c>
      <c r="N15" s="29" t="n">
        <f aca="false">N13*Assumptions!$E$19</f>
        <v>11251.1425712163</v>
      </c>
      <c r="O15" s="29" t="n">
        <f aca="false">O13*Assumptions!$E$19</f>
        <v>7660.75658003474</v>
      </c>
      <c r="P15" s="29" t="n">
        <f aca="false">P13*Assumptions!$E$19</f>
        <v>7902.22015665501</v>
      </c>
      <c r="Q15" s="29" t="n">
        <f aca="false">Q13*Assumptions!$E$19</f>
        <v>14158.1715478725</v>
      </c>
      <c r="R15" s="29" t="n">
        <f aca="false">R13*Assumptions!$E$19</f>
        <v>8429.48002256302</v>
      </c>
      <c r="S15" s="29" t="n">
        <f aca="false">S13*Assumptions!$E$19</f>
        <v>8717.06700573498</v>
      </c>
      <c r="T15" s="29" t="n">
        <f aca="false">T13*Assumptions!$E$19</f>
        <v>15021.9092078973</v>
      </c>
      <c r="U15" s="29" t="n">
        <f aca="false">U13*Assumptions!$E$19</f>
        <v>9345.04194218928</v>
      </c>
      <c r="V15" s="29" t="n">
        <f aca="false">V13*Assumptions!$E$19</f>
        <v>9687.56264053882</v>
      </c>
      <c r="W15" s="29" t="n">
        <f aca="false">W13*Assumptions!$E$19</f>
        <v>16050.6345807893</v>
      </c>
      <c r="X15" s="29" t="n">
        <f aca="false">X13*Assumptions!$E$19</f>
        <v>10435.4908374549</v>
      </c>
      <c r="Y15" s="29" t="n">
        <f aca="false">Y13*Assumptions!$E$19</f>
        <v>10843.4384695203</v>
      </c>
      <c r="Z15" s="29" t="n">
        <f aca="false">Z13*Assumptions!$E$19</f>
        <v>17275.8629595098</v>
      </c>
      <c r="AA15" s="29" t="n">
        <f aca="false">AA13*Assumptions!$E$19</f>
        <v>15370.5965552622</v>
      </c>
      <c r="AB15" s="29" t="n">
        <f aca="false">AB13*Assumptions!$E$19</f>
        <v>15856.4687122142</v>
      </c>
      <c r="AC15" s="29" t="n">
        <f aca="false">AC13*Assumptions!$E$19</f>
        <v>22371.4931985835</v>
      </c>
      <c r="AD15" s="29" t="n">
        <f aca="false">AD13*Assumptions!$E$19</f>
        <v>16917.4191541348</v>
      </c>
      <c r="AE15" s="29" t="n">
        <f aca="false">AE13*Assumptions!$E$19</f>
        <v>17496.1006670193</v>
      </c>
      <c r="AF15" s="29" t="n">
        <f aca="false">AF13*Assumptions!$E$19</f>
        <v>24109.5030706768</v>
      </c>
      <c r="AG15" s="29" t="n">
        <f aca="false">AG13*Assumptions!$E$19</f>
        <v>18759.7096185538</v>
      </c>
      <c r="AH15" s="29" t="n">
        <f aca="false">AH13*Assumptions!$E$19</f>
        <v>19448.9285593034</v>
      </c>
      <c r="AI15" s="29" t="n">
        <f aca="false">AI13*Assumptions!$E$19</f>
        <v>26179.500636498</v>
      </c>
      <c r="AJ15" s="29" t="n">
        <f aca="false">AJ13*Assumptions!$E$19</f>
        <v>20953.9070383242</v>
      </c>
      <c r="AK15" s="29" t="n">
        <f aca="false">AK13*Assumptions!$E$19</f>
        <v>21774.77782426</v>
      </c>
      <c r="AL15" s="29" t="n">
        <f aca="false">AL13*Assumptions!$E$19</f>
        <v>28644.900857352</v>
      </c>
    </row>
    <row r="16" customFormat="false" ht="15" hidden="false" customHeight="false" outlineLevel="0" collapsed="false">
      <c r="A16" s="3" t="s">
        <v>153</v>
      </c>
      <c r="C16" s="29" t="n">
        <f aca="false">C15</f>
        <v>5854.54545454546</v>
      </c>
      <c r="D16" s="29" t="n">
        <f aca="false">C16+D15</f>
        <v>9429.09090909091</v>
      </c>
      <c r="E16" s="29" t="n">
        <f aca="false">D16+E15</f>
        <v>19130.8363636364</v>
      </c>
      <c r="F16" s="29" t="n">
        <f aca="false">E16+F15</f>
        <v>22967.4138181818</v>
      </c>
      <c r="G16" s="29" t="n">
        <f aca="false">F16+G15</f>
        <v>26946.9131927273</v>
      </c>
      <c r="H16" s="29" t="n">
        <f aca="false">G16+H15</f>
        <v>37077.9098024727</v>
      </c>
      <c r="I16" s="29" t="n">
        <f aca="false">H16+I15</f>
        <v>41369.4934815302</v>
      </c>
      <c r="J16" s="29" t="n">
        <f aca="false">I16+J15</f>
        <v>45831.2994540584</v>
      </c>
      <c r="K16" s="29" t="n">
        <f aca="false">J16+K15</f>
        <v>56473.5410576655</v>
      </c>
      <c r="L16" s="29" t="n">
        <f aca="false">K16+L15</f>
        <v>61307.0444302163</v>
      </c>
      <c r="M16" s="29" t="n">
        <f aca="false">L16+M15</f>
        <v>66343.2852778475</v>
      </c>
      <c r="N16" s="29" t="n">
        <f aca="false">M16+N15</f>
        <v>77594.4278490638</v>
      </c>
      <c r="O16" s="29" t="n">
        <f aca="false">N16+O15</f>
        <v>85255.1844290986</v>
      </c>
      <c r="P16" s="29" t="n">
        <f aca="false">O16+P15</f>
        <v>93157.4045857536</v>
      </c>
      <c r="Q16" s="29" t="n">
        <f aca="false">P16+Q15</f>
        <v>107315.576133626</v>
      </c>
      <c r="R16" s="29" t="n">
        <f aca="false">Q16+R15</f>
        <v>115745.056156189</v>
      </c>
      <c r="S16" s="29" t="n">
        <f aca="false">R16+S15</f>
        <v>124462.123161924</v>
      </c>
      <c r="T16" s="29" t="n">
        <f aca="false">S16+T15</f>
        <v>139484.032369821</v>
      </c>
      <c r="U16" s="29" t="n">
        <f aca="false">T16+U15</f>
        <v>148829.074312011</v>
      </c>
      <c r="V16" s="29" t="n">
        <f aca="false">U16+V15</f>
        <v>158516.636952549</v>
      </c>
      <c r="W16" s="29" t="n">
        <f aca="false">V16+W15</f>
        <v>174567.271533339</v>
      </c>
      <c r="X16" s="29" t="n">
        <f aca="false">W16+X15</f>
        <v>185002.762370794</v>
      </c>
      <c r="Y16" s="29" t="n">
        <f aca="false">X16+Y15</f>
        <v>195846.200840314</v>
      </c>
      <c r="Z16" s="29" t="n">
        <f aca="false">Y16+Z15</f>
        <v>213122.063799824</v>
      </c>
      <c r="AA16" s="29" t="n">
        <f aca="false">Z16+AA15</f>
        <v>228492.660355086</v>
      </c>
      <c r="AB16" s="29" t="n">
        <f aca="false">AA16+AB15</f>
        <v>244349.1290673</v>
      </c>
      <c r="AC16" s="29" t="n">
        <f aca="false">AB16+AC15</f>
        <v>266720.622265884</v>
      </c>
      <c r="AD16" s="29" t="n">
        <f aca="false">AC16+AD15</f>
        <v>283638.041420018</v>
      </c>
      <c r="AE16" s="29" t="n">
        <f aca="false">AD16+AE15</f>
        <v>301134.142087038</v>
      </c>
      <c r="AF16" s="29" t="n">
        <f aca="false">AE16+AF15</f>
        <v>325243.645157715</v>
      </c>
      <c r="AG16" s="29" t="n">
        <f aca="false">AF16+AG15</f>
        <v>344003.354776268</v>
      </c>
      <c r="AH16" s="29" t="n">
        <f aca="false">AG16+AH15</f>
        <v>363452.283335572</v>
      </c>
      <c r="AI16" s="29" t="n">
        <f aca="false">AH16+AI15</f>
        <v>389631.78397207</v>
      </c>
      <c r="AJ16" s="29" t="n">
        <f aca="false">AI16+AJ15</f>
        <v>410585.691010394</v>
      </c>
      <c r="AK16" s="29" t="n">
        <f aca="false">AJ16+AK15</f>
        <v>432360.468834654</v>
      </c>
      <c r="AL16" s="29" t="n">
        <f aca="false">AK16+AL15</f>
        <v>461005.369692006</v>
      </c>
    </row>
    <row r="17" customFormat="false" ht="15" hidden="false" customHeight="false" outlineLevel="0" collapsed="false">
      <c r="A17" s="1" t="s">
        <v>154</v>
      </c>
      <c r="C17" s="31" t="n">
        <f aca="false">C13</f>
        <v>14636.3636363636</v>
      </c>
      <c r="D17" s="31" t="n">
        <f aca="false">D13+C13*Assumptions!$E$21+MAX(0,C17-C13)*Assumptions!$E$22</f>
        <v>11570.9090909091</v>
      </c>
      <c r="E17" s="31" t="n">
        <f aca="false">E13+D13*Assumptions!$E$21+MAX(0,D17-D13)*Assumptions!$E$22</f>
        <v>27838.8181818182</v>
      </c>
      <c r="F17" s="31" t="n">
        <f aca="false">F13+E13*Assumptions!$E$21+MAX(0,E17-E13)*Assumptions!$E$22</f>
        <v>16645.57</v>
      </c>
      <c r="G17" s="31" t="n">
        <f aca="false">G13+F13*Assumptions!$E$21+MAX(0,F17-F13)*Assumptions!$E$22</f>
        <v>16965.8030636364</v>
      </c>
      <c r="H17" s="31" t="n">
        <f aca="false">H13+G13*Assumptions!$E$21+MAX(0,G17-G13)*Assumptions!$E$22</f>
        <v>32381.0572133636</v>
      </c>
      <c r="I17" s="31" t="n">
        <f aca="false">I13+H13*Assumptions!$E$21+MAX(0,H17-H13)*Assumptions!$E$22</f>
        <v>20578.0819387791</v>
      </c>
      <c r="J17" s="31" t="n">
        <f aca="false">J13+I13*Assumptions!$E$21+MAX(0,I17-I13)*Assumptions!$E$22</f>
        <v>20472.5696427479</v>
      </c>
      <c r="K17" s="31" t="n">
        <f aca="false">K13+J13*Assumptions!$E$21+MAX(0,J17-J13)*Assumptions!$E$22</f>
        <v>35601.9577302261</v>
      </c>
      <c r="L17" s="31" t="n">
        <f aca="false">L13+K13*Assumptions!$E$21+MAX(0,K17-K13)*Assumptions!$E$22</f>
        <v>23620.0324439065</v>
      </c>
      <c r="M17" s="31" t="n">
        <f aca="false">M13+L13*Assumptions!$E$21+MAX(0,L17-L13)*Assumptions!$E$22</f>
        <v>23417.8841461228</v>
      </c>
      <c r="N17" s="31" t="n">
        <f aca="false">N13+M13*Assumptions!$E$21+MAX(0,M17-M13)*Assumptions!$E$22</f>
        <v>38514.6263297585</v>
      </c>
      <c r="O17" s="31" t="n">
        <f aca="false">O13+N13*Assumptions!$E$21+MAX(0,N17-N13)*Assumptions!$E$22</f>
        <v>32004.9830334225</v>
      </c>
      <c r="P17" s="31" t="n">
        <f aca="false">P13+O13*Assumptions!$E$21+MAX(0,O17-O13)*Assumptions!$E$22</f>
        <v>32842.7095401549</v>
      </c>
      <c r="Q17" s="31" t="n">
        <f aca="false">Q13+P13*Assumptions!$E$21+MAX(0,P17-P13)*Assumptions!$E$22</f>
        <v>48766.797301564</v>
      </c>
      <c r="R17" s="31" t="n">
        <f aca="false">R13+Q13*Assumptions!$E$21+MAX(0,Q17-Q13)*Assumptions!$E$22</f>
        <v>37473.4035768622</v>
      </c>
      <c r="S17" s="31" t="n">
        <f aca="false">S13+R13*Assumptions!$E$21+MAX(0,R17-R13)*Assumptions!$E$22</f>
        <v>37885.7111648318</v>
      </c>
      <c r="T17" s="31" t="n">
        <f aca="false">T13+S13*Assumptions!$E$21+MAX(0,S17-S13)*Assumptions!$E$22</f>
        <v>53547.2359101947</v>
      </c>
      <c r="U17" s="31" t="n">
        <f aca="false">U13+T13*Assumptions!$E$21+MAX(0,T17-T13)*Assumptions!$E$22</f>
        <v>42116.8111668656</v>
      </c>
      <c r="V17" s="31" t="n">
        <f aca="false">V13+U13*Assumptions!$E$21+MAX(0,U17-U13)*Assumptions!$E$22</f>
        <v>42489.8302088765</v>
      </c>
      <c r="W17" s="31" t="n">
        <f aca="false">W13+V13*Assumptions!$E$21+MAX(0,V17-V13)*Assumptions!$E$22</f>
        <v>58189.1823458629</v>
      </c>
      <c r="X17" s="31" t="n">
        <f aca="false">X13+W13*Assumptions!$E$21+MAX(0,W17-W13)*Assumptions!$E$22</f>
        <v>46858.4595754096</v>
      </c>
      <c r="Y17" s="31" t="n">
        <f aca="false">Y13+X13*Assumptions!$E$21+MAX(0,X17-X13)*Assumptions!$E$22</f>
        <v>47381.8664119849</v>
      </c>
      <c r="Z17" s="31" t="n">
        <f aca="false">Z13+Y13*Assumptions!$E$21+MAX(0,Y17-Y13)*Assumptions!$E$22</f>
        <v>63274.1573886965</v>
      </c>
      <c r="AA17" s="31" t="n">
        <f aca="false">AA13+Z13*Assumptions!$E$21+MAX(0,Z17-Z13)*Assumptions!$E$22</f>
        <v>61264.0047123764</v>
      </c>
      <c r="AB17" s="31" t="n">
        <f aca="false">AB13+AA13*Assumptions!$E$21+MAX(0,AA17-AA13)*Assumptions!$E$22</f>
        <v>63686.0752235693</v>
      </c>
      <c r="AC17" s="31" t="n">
        <f aca="false">AC13+AB13*Assumptions!$E$21+MAX(0,AB17-AB13)*Assumptions!$E$22</f>
        <v>81097.8214992304</v>
      </c>
      <c r="AD17" s="31" t="n">
        <f aca="false">AD13+AC13*Assumptions!$E$21+MAX(0,AC17-AC13)*Assumptions!$E$22</f>
        <v>71237.5362017784</v>
      </c>
      <c r="AE17" s="31" t="n">
        <f aca="false">AE13+AD13*Assumptions!$E$21+MAX(0,AD17-AD13)*Assumptions!$E$22</f>
        <v>73061.0815242399</v>
      </c>
      <c r="AF17" s="31" t="n">
        <f aca="false">AF13+AE13*Assumptions!$E$21+MAX(0,AE17-AE13)*Assumptions!$E$22</f>
        <v>90137.6253693695</v>
      </c>
      <c r="AG17" s="31" t="n">
        <f aca="false">AG13+AF13*Assumptions!$E$21+MAX(0,AF17-AF13)*Assumptions!$E$22</f>
        <v>80146.4511976971</v>
      </c>
      <c r="AH17" s="31" t="n">
        <f aca="false">AH13+AG13*Assumptions!$E$21+MAX(0,AG17-AG13)*Assumptions!$E$22</f>
        <v>81999.5735900921</v>
      </c>
      <c r="AI17" s="31" t="n">
        <f aca="false">AI13+AH13*Assumptions!$E$21+MAX(0,AH17-AH13)*Assumptions!$E$22</f>
        <v>99233.7085868067</v>
      </c>
      <c r="AJ17" s="31" t="n">
        <f aca="false">AJ13+AI13*Assumptions!$E$21+MAX(0,AI17-AI13)*Assumptions!$E$22</f>
        <v>89504.2606289059</v>
      </c>
      <c r="AK17" s="31" t="n">
        <f aca="false">AK13+AJ13*Assumptions!$E$21+MAX(0,AJ17-AJ13)*Assumptions!$E$22</f>
        <v>91705.8225027175</v>
      </c>
      <c r="AL17" s="31" t="n">
        <f aca="false">AL13+AK13*Assumptions!$E$21+MAX(0,AK17-AK13)*Assumptions!$E$22</f>
        <v>109362.560620848</v>
      </c>
    </row>
    <row r="18" customFormat="false" ht="15" hidden="false" customHeight="false" outlineLevel="0" collapsed="false">
      <c r="A18" s="3" t="s">
        <v>155</v>
      </c>
      <c r="C18" s="29" t="n">
        <f aca="false">C17*Assumptions!$E$24</f>
        <v>219.545454545455</v>
      </c>
      <c r="D18" s="29" t="n">
        <f aca="false">D17*Assumptions!$E$24</f>
        <v>173.563636363636</v>
      </c>
      <c r="E18" s="29" t="n">
        <f aca="false">E17*Assumptions!$E$24</f>
        <v>417.582272727273</v>
      </c>
      <c r="F18" s="29" t="n">
        <f aca="false">F17*Assumptions!$E$24</f>
        <v>249.68355</v>
      </c>
      <c r="G18" s="29" t="n">
        <f aca="false">G17*Assumptions!$E$24</f>
        <v>254.487045954546</v>
      </c>
      <c r="H18" s="29" t="n">
        <f aca="false">H17*Assumptions!$E$24</f>
        <v>485.715858200455</v>
      </c>
      <c r="I18" s="29" t="n">
        <f aca="false">I17*Assumptions!$E$24</f>
        <v>308.671229081687</v>
      </c>
      <c r="J18" s="29" t="n">
        <f aca="false">J17*Assumptions!$E$24</f>
        <v>307.088544641218</v>
      </c>
      <c r="K18" s="29" t="n">
        <f aca="false">K17*Assumptions!$E$24</f>
        <v>534.029365953392</v>
      </c>
      <c r="L18" s="29" t="n">
        <f aca="false">L17*Assumptions!$E$24</f>
        <v>354.300486658598</v>
      </c>
      <c r="M18" s="29" t="n">
        <f aca="false">M17*Assumptions!$E$24</f>
        <v>351.268262191843</v>
      </c>
      <c r="N18" s="29" t="n">
        <f aca="false">N17*Assumptions!$E$24</f>
        <v>577.719394946377</v>
      </c>
      <c r="O18" s="29" t="n">
        <f aca="false">O17*Assumptions!$E$24</f>
        <v>480.074745501337</v>
      </c>
      <c r="P18" s="29" t="n">
        <f aca="false">P17*Assumptions!$E$24</f>
        <v>492.640643102323</v>
      </c>
      <c r="Q18" s="29" t="n">
        <f aca="false">Q17*Assumptions!$E$24</f>
        <v>731.50195952346</v>
      </c>
      <c r="R18" s="29" t="n">
        <f aca="false">R17*Assumptions!$E$24</f>
        <v>562.101053652934</v>
      </c>
      <c r="S18" s="29" t="n">
        <f aca="false">S17*Assumptions!$E$24</f>
        <v>568.285667472478</v>
      </c>
      <c r="T18" s="29" t="n">
        <f aca="false">T17*Assumptions!$E$24</f>
        <v>803.20853865292</v>
      </c>
      <c r="U18" s="29" t="n">
        <f aca="false">U17*Assumptions!$E$24</f>
        <v>631.752167502984</v>
      </c>
      <c r="V18" s="29" t="n">
        <f aca="false">V17*Assumptions!$E$24</f>
        <v>637.347453133148</v>
      </c>
      <c r="W18" s="29" t="n">
        <f aca="false">W17*Assumptions!$E$24</f>
        <v>872.837735187944</v>
      </c>
      <c r="X18" s="29" t="n">
        <f aca="false">X17*Assumptions!$E$24</f>
        <v>702.876893631144</v>
      </c>
      <c r="Y18" s="29" t="n">
        <f aca="false">Y17*Assumptions!$E$24</f>
        <v>710.727996179773</v>
      </c>
      <c r="Z18" s="29" t="n">
        <f aca="false">Z17*Assumptions!$E$24</f>
        <v>949.112360830448</v>
      </c>
      <c r="AA18" s="29" t="n">
        <f aca="false">AA17*Assumptions!$E$24</f>
        <v>918.960070685646</v>
      </c>
      <c r="AB18" s="29" t="n">
        <f aca="false">AB17*Assumptions!$E$24</f>
        <v>955.29112835354</v>
      </c>
      <c r="AC18" s="29" t="n">
        <f aca="false">AC17*Assumptions!$E$24</f>
        <v>1216.46732248846</v>
      </c>
      <c r="AD18" s="29" t="n">
        <f aca="false">AD17*Assumptions!$E$24</f>
        <v>1068.56304302668</v>
      </c>
      <c r="AE18" s="29" t="n">
        <f aca="false">AE17*Assumptions!$E$24</f>
        <v>1095.9162228636</v>
      </c>
      <c r="AF18" s="29" t="n">
        <f aca="false">AF17*Assumptions!$E$24</f>
        <v>1352.06438054054</v>
      </c>
      <c r="AG18" s="29" t="n">
        <f aca="false">AG17*Assumptions!$E$24</f>
        <v>1202.19676796546</v>
      </c>
      <c r="AH18" s="29" t="n">
        <f aca="false">AH17*Assumptions!$E$24</f>
        <v>1229.99360385138</v>
      </c>
      <c r="AI18" s="29" t="n">
        <f aca="false">AI17*Assumptions!$E$24</f>
        <v>1488.5056288021</v>
      </c>
      <c r="AJ18" s="29" t="n">
        <f aca="false">AJ17*Assumptions!$E$24</f>
        <v>1342.56390943359</v>
      </c>
      <c r="AK18" s="29" t="n">
        <f aca="false">AK17*Assumptions!$E$24</f>
        <v>1375.58733754076</v>
      </c>
      <c r="AL18" s="29" t="n">
        <f aca="false">AL17*Assumptions!$E$24</f>
        <v>1640.43840931271</v>
      </c>
    </row>
    <row r="19" customFormat="false" ht="15" hidden="false" customHeight="false" outlineLevel="0" collapsed="false">
      <c r="A19" s="3" t="s">
        <v>156</v>
      </c>
      <c r="C19" s="29" t="n">
        <f aca="false">C17*Assumptions!$E$26</f>
        <v>365.909090909091</v>
      </c>
      <c r="D19" s="29" t="n">
        <f aca="false">D17*Assumptions!$E$26</f>
        <v>289.272727272727</v>
      </c>
      <c r="E19" s="29" t="n">
        <f aca="false">E17*Assumptions!$E$26</f>
        <v>695.970454545455</v>
      </c>
      <c r="F19" s="29" t="n">
        <f aca="false">F17*Assumptions!$E$26</f>
        <v>416.13925</v>
      </c>
      <c r="G19" s="29" t="n">
        <f aca="false">G17*Assumptions!$E$26</f>
        <v>424.145076590909</v>
      </c>
      <c r="H19" s="29" t="n">
        <f aca="false">H17*Assumptions!$E$26</f>
        <v>809.526430334091</v>
      </c>
      <c r="I19" s="29" t="n">
        <f aca="false">I17*Assumptions!$E$26</f>
        <v>514.452048469478</v>
      </c>
      <c r="J19" s="29" t="n">
        <f aca="false">J17*Assumptions!$E$26</f>
        <v>511.814241068697</v>
      </c>
      <c r="K19" s="29" t="n">
        <f aca="false">K17*Assumptions!$E$26</f>
        <v>890.048943255653</v>
      </c>
      <c r="L19" s="29" t="n">
        <f aca="false">L17*Assumptions!$E$26</f>
        <v>590.500811097663</v>
      </c>
      <c r="M19" s="29" t="n">
        <f aca="false">M17*Assumptions!$E$26</f>
        <v>585.447103653071</v>
      </c>
      <c r="N19" s="29" t="n">
        <f aca="false">N17*Assumptions!$E$26</f>
        <v>962.865658243963</v>
      </c>
      <c r="O19" s="29" t="n">
        <f aca="false">O17*Assumptions!$E$26</f>
        <v>800.124575835562</v>
      </c>
      <c r="P19" s="29" t="n">
        <f aca="false">P17*Assumptions!$E$26</f>
        <v>821.067738503872</v>
      </c>
      <c r="Q19" s="29" t="n">
        <f aca="false">Q17*Assumptions!$E$26</f>
        <v>1219.1699325391</v>
      </c>
      <c r="R19" s="29" t="n">
        <f aca="false">R17*Assumptions!$E$26</f>
        <v>936.835089421556</v>
      </c>
      <c r="S19" s="29" t="n">
        <f aca="false">S17*Assumptions!$E$26</f>
        <v>947.142779120796</v>
      </c>
      <c r="T19" s="29" t="n">
        <f aca="false">T17*Assumptions!$E$26</f>
        <v>1338.68089775487</v>
      </c>
      <c r="U19" s="29" t="n">
        <f aca="false">U17*Assumptions!$E$26</f>
        <v>1052.92027917164</v>
      </c>
      <c r="V19" s="29" t="n">
        <f aca="false">V17*Assumptions!$E$26</f>
        <v>1062.24575522191</v>
      </c>
      <c r="W19" s="29" t="n">
        <f aca="false">W17*Assumptions!$E$26</f>
        <v>1454.72955864657</v>
      </c>
      <c r="X19" s="29" t="n">
        <f aca="false">X17*Assumptions!$E$26</f>
        <v>1171.46148938524</v>
      </c>
      <c r="Y19" s="29" t="n">
        <f aca="false">Y17*Assumptions!$E$26</f>
        <v>1184.54666029962</v>
      </c>
      <c r="Z19" s="29" t="n">
        <f aca="false">Z17*Assumptions!$E$26</f>
        <v>1581.85393471741</v>
      </c>
      <c r="AA19" s="29" t="n">
        <f aca="false">AA17*Assumptions!$E$26</f>
        <v>1531.60011780941</v>
      </c>
      <c r="AB19" s="29" t="n">
        <f aca="false">AB17*Assumptions!$E$26</f>
        <v>1592.15188058923</v>
      </c>
      <c r="AC19" s="29" t="n">
        <f aca="false">AC17*Assumptions!$E$26</f>
        <v>2027.44553748076</v>
      </c>
      <c r="AD19" s="29" t="n">
        <f aca="false">AD17*Assumptions!$E$26</f>
        <v>1780.93840504446</v>
      </c>
      <c r="AE19" s="29" t="n">
        <f aca="false">AE17*Assumptions!$E$26</f>
        <v>1826.527038106</v>
      </c>
      <c r="AF19" s="29" t="n">
        <f aca="false">AF17*Assumptions!$E$26</f>
        <v>2253.44063423424</v>
      </c>
      <c r="AG19" s="29" t="n">
        <f aca="false">AG17*Assumptions!$E$26</f>
        <v>2003.66127994243</v>
      </c>
      <c r="AH19" s="29" t="n">
        <f aca="false">AH17*Assumptions!$E$26</f>
        <v>2049.9893397523</v>
      </c>
      <c r="AI19" s="29" t="n">
        <f aca="false">AI17*Assumptions!$E$26</f>
        <v>2480.84271467017</v>
      </c>
      <c r="AJ19" s="29" t="n">
        <f aca="false">AJ17*Assumptions!$E$26</f>
        <v>2237.60651572265</v>
      </c>
      <c r="AK19" s="29" t="n">
        <f aca="false">AK17*Assumptions!$E$26</f>
        <v>2292.64556256794</v>
      </c>
      <c r="AL19" s="29" t="n">
        <f aca="false">AL17*Assumptions!$E$26</f>
        <v>2734.06401552119</v>
      </c>
    </row>
    <row r="20" customFormat="false" ht="15" hidden="false" customHeight="false" outlineLevel="0" collapsed="false">
      <c r="A20" s="3" t="s">
        <v>157</v>
      </c>
      <c r="C20" s="29" t="n">
        <f aca="false">SUMPRODUCT(($C$3:C$3&gt;C$3-Assumptions!$E$17)*($C$11:C11))</f>
        <v>0</v>
      </c>
      <c r="D20" s="29" t="n">
        <f aca="false">SUMPRODUCT(($C$3:D$3&gt;D$3-Assumptions!$E$17)*($C$11:D11))</f>
        <v>0</v>
      </c>
      <c r="E20" s="29" t="n">
        <f aca="false">SUMPRODUCT(($C$3:E$3&gt;E$3-Assumptions!$E$17)*($C$11:E11))</f>
        <v>1</v>
      </c>
      <c r="F20" s="29" t="n">
        <f aca="false">SUMPRODUCT(($C$3:F$3&gt;F$3-Assumptions!$E$17)*($C$11:F11))</f>
        <v>1</v>
      </c>
      <c r="G20" s="29" t="n">
        <f aca="false">SUMPRODUCT(($C$3:G$3&gt;G$3-Assumptions!$E$17)*($C$11:G11))</f>
        <v>1</v>
      </c>
      <c r="H20" s="29" t="n">
        <f aca="false">SUMPRODUCT(($C$3:H$3&gt;H$3-Assumptions!$E$17)*($C$11:H11))</f>
        <v>2</v>
      </c>
      <c r="I20" s="29" t="n">
        <f aca="false">SUMPRODUCT(($C$3:I$3&gt;I$3-Assumptions!$E$17)*($C$11:I11))</f>
        <v>2</v>
      </c>
      <c r="J20" s="29" t="n">
        <f aca="false">SUMPRODUCT(($C$3:J$3&gt;J$3-Assumptions!$E$17)*($C$11:J11))</f>
        <v>2</v>
      </c>
      <c r="K20" s="29" t="n">
        <f aca="false">SUMPRODUCT(($C$3:K$3&gt;K$3-Assumptions!$E$17)*($C$11:K11))</f>
        <v>3</v>
      </c>
      <c r="L20" s="29" t="n">
        <f aca="false">SUMPRODUCT(($C$3:L$3&gt;L$3-Assumptions!$E$17)*($C$11:L11))</f>
        <v>3</v>
      </c>
      <c r="M20" s="29" t="n">
        <f aca="false">SUMPRODUCT(($C$3:M$3&gt;M$3-Assumptions!$E$17)*($C$11:M11))</f>
        <v>3</v>
      </c>
      <c r="N20" s="29" t="n">
        <f aca="false">SUMPRODUCT(($C$3:N$3&gt;N$3-Assumptions!$E$17)*($C$11:N11))</f>
        <v>4</v>
      </c>
      <c r="O20" s="29" t="n">
        <f aca="false">SUMPRODUCT(($C$3:O$3&gt;O$3-Assumptions!$E$17)*($C$11:O11))</f>
        <v>4</v>
      </c>
      <c r="P20" s="29" t="n">
        <f aca="false">SUMPRODUCT(($C$3:P$3&gt;P$3-Assumptions!$E$17)*($C$11:P11))</f>
        <v>4</v>
      </c>
      <c r="Q20" s="29" t="n">
        <f aca="false">SUMPRODUCT(($C$3:Q$3&gt;Q$3-Assumptions!$E$17)*($C$11:Q11))</f>
        <v>4</v>
      </c>
      <c r="R20" s="29" t="n">
        <f aca="false">SUMPRODUCT(($C$3:R$3&gt;R$3-Assumptions!$E$17)*($C$11:R11))</f>
        <v>4</v>
      </c>
      <c r="S20" s="29" t="n">
        <f aca="false">SUMPRODUCT(($C$3:S$3&gt;S$3-Assumptions!$E$17)*($C$11:S11))</f>
        <v>4</v>
      </c>
      <c r="T20" s="29" t="n">
        <f aca="false">SUMPRODUCT(($C$3:T$3&gt;T$3-Assumptions!$E$17)*($C$11:T11))</f>
        <v>4</v>
      </c>
      <c r="U20" s="29" t="n">
        <f aca="false">SUMPRODUCT(($C$3:U$3&gt;U$3-Assumptions!$E$17)*($C$11:U11))</f>
        <v>4</v>
      </c>
      <c r="V20" s="29" t="n">
        <f aca="false">SUMPRODUCT(($C$3:V$3&gt;V$3-Assumptions!$E$17)*($C$11:V11))</f>
        <v>4</v>
      </c>
      <c r="W20" s="29" t="n">
        <f aca="false">SUMPRODUCT(($C$3:W$3&gt;W$3-Assumptions!$E$17)*($C$11:W11))</f>
        <v>4</v>
      </c>
      <c r="X20" s="29" t="n">
        <f aca="false">SUMPRODUCT(($C$3:X$3&gt;X$3-Assumptions!$E$17)*($C$11:X11))</f>
        <v>4</v>
      </c>
      <c r="Y20" s="29" t="n">
        <f aca="false">SUMPRODUCT(($C$3:Y$3&gt;Y$3-Assumptions!$E$17)*($C$11:Y11))</f>
        <v>4</v>
      </c>
      <c r="Z20" s="29" t="n">
        <f aca="false">SUMPRODUCT(($C$3:Z$3&gt;Z$3-Assumptions!$E$17)*($C$11:Z11))</f>
        <v>4</v>
      </c>
      <c r="AA20" s="29" t="n">
        <f aca="false">SUMPRODUCT(($C$3:AA$3&gt;AA$3-Assumptions!$E$17)*($C$11:AA11))</f>
        <v>4</v>
      </c>
      <c r="AB20" s="29" t="n">
        <f aca="false">SUMPRODUCT(($C$3:AB$3&gt;AB$3-Assumptions!$E$17)*($C$11:AB11))</f>
        <v>4</v>
      </c>
      <c r="AC20" s="29" t="n">
        <f aca="false">SUMPRODUCT(($C$3:AC$3&gt;AC$3-Assumptions!$E$17)*($C$11:AC11))</f>
        <v>4</v>
      </c>
      <c r="AD20" s="29" t="n">
        <f aca="false">SUMPRODUCT(($C$3:AD$3&gt;AD$3-Assumptions!$E$17)*($C$11:AD11))</f>
        <v>4</v>
      </c>
      <c r="AE20" s="29" t="n">
        <f aca="false">SUMPRODUCT(($C$3:AE$3&gt;AE$3-Assumptions!$E$17)*($C$11:AE11))</f>
        <v>4</v>
      </c>
      <c r="AF20" s="29" t="n">
        <f aca="false">SUMPRODUCT(($C$3:AF$3&gt;AF$3-Assumptions!$E$17)*($C$11:AF11))</f>
        <v>4</v>
      </c>
      <c r="AG20" s="29" t="n">
        <f aca="false">SUMPRODUCT(($C$3:AG$3&gt;AG$3-Assumptions!$E$17)*($C$11:AG11))</f>
        <v>4</v>
      </c>
      <c r="AH20" s="29" t="n">
        <f aca="false">SUMPRODUCT(($C$3:AH$3&gt;AH$3-Assumptions!$E$17)*($C$11:AH11))</f>
        <v>4</v>
      </c>
      <c r="AI20" s="29" t="n">
        <f aca="false">SUMPRODUCT(($C$3:AI$3&gt;AI$3-Assumptions!$E$17)*($C$11:AI11))</f>
        <v>4</v>
      </c>
      <c r="AJ20" s="29" t="n">
        <f aca="false">SUMPRODUCT(($C$3:AJ$3&gt;AJ$3-Assumptions!$E$17)*($C$11:AJ11))</f>
        <v>4</v>
      </c>
      <c r="AK20" s="29" t="n">
        <f aca="false">SUMPRODUCT(($C$3:AK$3&gt;AK$3-Assumptions!$E$17)*($C$11:AK11))</f>
        <v>4</v>
      </c>
      <c r="AL20" s="29" t="n">
        <f aca="false">SUMPRODUCT(($C$3:AL$3&gt;AL$3-Assumptions!$E$17)*($C$11:AL11))</f>
        <v>4</v>
      </c>
    </row>
    <row r="21" customFormat="false" ht="15" hidden="false" customHeight="false" outlineLevel="0" collapsed="false">
      <c r="A21" s="9" t="s">
        <v>158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</row>
    <row r="22" customFormat="false" ht="15" hidden="false" customHeight="false" outlineLevel="0" collapsed="false">
      <c r="A22" s="3" t="s">
        <v>122</v>
      </c>
      <c r="C22" s="30" t="n">
        <f aca="false">C18*Assumptions!$E$25</f>
        <v>878.181818181818</v>
      </c>
      <c r="D22" s="30" t="n">
        <f aca="false">D18*Assumptions!$E$25</f>
        <v>694.254545454545</v>
      </c>
      <c r="E22" s="30" t="n">
        <f aca="false">E18*Assumptions!$E$25</f>
        <v>1670.32909090909</v>
      </c>
      <c r="F22" s="30" t="n">
        <f aca="false">F18*Assumptions!$E$25</f>
        <v>998.7342</v>
      </c>
      <c r="G22" s="30" t="n">
        <f aca="false">G18*Assumptions!$E$25</f>
        <v>1017.94818381818</v>
      </c>
      <c r="H22" s="30" t="n">
        <f aca="false">H18*Assumptions!$E$25</f>
        <v>1942.86343280182</v>
      </c>
      <c r="I22" s="30" t="n">
        <f aca="false">I18*Assumptions!$E$25</f>
        <v>1234.68491632675</v>
      </c>
      <c r="J22" s="30" t="n">
        <f aca="false">J18*Assumptions!$E$25</f>
        <v>1228.35417856487</v>
      </c>
      <c r="K22" s="30" t="n">
        <f aca="false">K18*Assumptions!$E$25</f>
        <v>2136.11746381357</v>
      </c>
      <c r="L22" s="30" t="n">
        <f aca="false">L18*Assumptions!$E$25</f>
        <v>1417.20194663439</v>
      </c>
      <c r="M22" s="30" t="n">
        <f aca="false">M18*Assumptions!$E$25</f>
        <v>1405.07304876737</v>
      </c>
      <c r="N22" s="30" t="n">
        <f aca="false">N18*Assumptions!$E$25</f>
        <v>2310.87757978551</v>
      </c>
      <c r="O22" s="30" t="n">
        <f aca="false">O18*Assumptions!$E$25</f>
        <v>1920.29898200535</v>
      </c>
      <c r="P22" s="30" t="n">
        <f aca="false">P18*Assumptions!$E$25</f>
        <v>1970.56257240929</v>
      </c>
      <c r="Q22" s="30" t="n">
        <f aca="false">Q18*Assumptions!$E$25</f>
        <v>2926.00783809384</v>
      </c>
      <c r="R22" s="30" t="n">
        <f aca="false">R18*Assumptions!$E$25</f>
        <v>2248.40421461173</v>
      </c>
      <c r="S22" s="30" t="n">
        <f aca="false">S18*Assumptions!$E$25</f>
        <v>2273.14266988991</v>
      </c>
      <c r="T22" s="30" t="n">
        <f aca="false">T18*Assumptions!$E$25</f>
        <v>3212.83415461168</v>
      </c>
      <c r="U22" s="30" t="n">
        <f aca="false">U18*Assumptions!$E$25</f>
        <v>2527.00867001194</v>
      </c>
      <c r="V22" s="30" t="n">
        <f aca="false">V18*Assumptions!$E$25</f>
        <v>2549.38981253259</v>
      </c>
      <c r="W22" s="30" t="n">
        <f aca="false">W18*Assumptions!$E$25</f>
        <v>3491.35094075177</v>
      </c>
      <c r="X22" s="30" t="n">
        <f aca="false">X18*Assumptions!$E$25</f>
        <v>2811.50757452457</v>
      </c>
      <c r="Y22" s="30" t="n">
        <f aca="false">Y18*Assumptions!$E$25</f>
        <v>2842.91198471909</v>
      </c>
      <c r="Z22" s="30" t="n">
        <f aca="false">Z18*Assumptions!$E$25</f>
        <v>3796.44944332179</v>
      </c>
      <c r="AA22" s="30" t="n">
        <f aca="false">AA18*Assumptions!$E$25</f>
        <v>3675.84028274258</v>
      </c>
      <c r="AB22" s="30" t="n">
        <f aca="false">AB18*Assumptions!$E$25</f>
        <v>3821.16451341416</v>
      </c>
      <c r="AC22" s="30" t="n">
        <f aca="false">AC18*Assumptions!$E$25</f>
        <v>4865.86928995382</v>
      </c>
      <c r="AD22" s="30" t="n">
        <f aca="false">AD18*Assumptions!$E$25</f>
        <v>4274.25217210671</v>
      </c>
      <c r="AE22" s="30" t="n">
        <f aca="false">AE18*Assumptions!$E$25</f>
        <v>4383.6648914544</v>
      </c>
      <c r="AF22" s="30" t="n">
        <f aca="false">AF18*Assumptions!$E$25</f>
        <v>5408.25752216217</v>
      </c>
      <c r="AG22" s="30" t="n">
        <f aca="false">AG18*Assumptions!$E$25</f>
        <v>4808.78707186183</v>
      </c>
      <c r="AH22" s="30" t="n">
        <f aca="false">AH18*Assumptions!$E$25</f>
        <v>4919.97441540553</v>
      </c>
      <c r="AI22" s="30" t="n">
        <f aca="false">AI18*Assumptions!$E$25</f>
        <v>5954.0225152084</v>
      </c>
      <c r="AJ22" s="30" t="n">
        <f aca="false">AJ18*Assumptions!$E$25</f>
        <v>5370.25563773435</v>
      </c>
      <c r="AK22" s="30" t="n">
        <f aca="false">AK18*Assumptions!$E$25</f>
        <v>5502.34935016305</v>
      </c>
      <c r="AL22" s="30" t="n">
        <f aca="false">AL18*Assumptions!$E$25</f>
        <v>6561.75363725085</v>
      </c>
    </row>
    <row r="23" customFormat="false" ht="15" hidden="false" customHeight="false" outlineLevel="0" collapsed="false">
      <c r="A23" s="3" t="s">
        <v>159</v>
      </c>
      <c r="C23" s="30" t="n">
        <f aca="false">C19*Assumptions!$E$27</f>
        <v>2927.27272727273</v>
      </c>
      <c r="D23" s="30" t="n">
        <f aca="false">D19*Assumptions!$E$27</f>
        <v>2314.18181818182</v>
      </c>
      <c r="E23" s="30" t="n">
        <f aca="false">E19*Assumptions!$E$27</f>
        <v>5567.76363636364</v>
      </c>
      <c r="F23" s="30" t="n">
        <f aca="false">F19*Assumptions!$E$27</f>
        <v>3329.114</v>
      </c>
      <c r="G23" s="30" t="n">
        <f aca="false">G19*Assumptions!$E$27</f>
        <v>3393.16061272727</v>
      </c>
      <c r="H23" s="30" t="n">
        <f aca="false">H19*Assumptions!$E$27</f>
        <v>6476.21144267273</v>
      </c>
      <c r="I23" s="30" t="n">
        <f aca="false">I19*Assumptions!$E$27</f>
        <v>4115.61638775582</v>
      </c>
      <c r="J23" s="30" t="n">
        <f aca="false">J19*Assumptions!$E$27</f>
        <v>4094.51392854958</v>
      </c>
      <c r="K23" s="30" t="n">
        <f aca="false">K19*Assumptions!$E$27</f>
        <v>7120.39154604522</v>
      </c>
      <c r="L23" s="30" t="n">
        <f aca="false">L19*Assumptions!$E$27</f>
        <v>4724.0064887813</v>
      </c>
      <c r="M23" s="30" t="n">
        <f aca="false">M19*Assumptions!$E$27</f>
        <v>4683.57682922457</v>
      </c>
      <c r="N23" s="30" t="n">
        <f aca="false">N19*Assumptions!$E$27</f>
        <v>7702.9252659517</v>
      </c>
      <c r="O23" s="30" t="n">
        <f aca="false">O19*Assumptions!$E$27</f>
        <v>6400.9966066845</v>
      </c>
      <c r="P23" s="30" t="n">
        <f aca="false">P19*Assumptions!$E$27</f>
        <v>6568.54190803098</v>
      </c>
      <c r="Q23" s="30" t="n">
        <f aca="false">Q19*Assumptions!$E$27</f>
        <v>9753.3594603128</v>
      </c>
      <c r="R23" s="30" t="n">
        <f aca="false">R19*Assumptions!$E$27</f>
        <v>7494.68071537245</v>
      </c>
      <c r="S23" s="30" t="n">
        <f aca="false">S19*Assumptions!$E$27</f>
        <v>7577.14223296637</v>
      </c>
      <c r="T23" s="30" t="n">
        <f aca="false">T19*Assumptions!$E$27</f>
        <v>10709.4471820389</v>
      </c>
      <c r="U23" s="30" t="n">
        <f aca="false">U19*Assumptions!$E$27</f>
        <v>8423.36223337312</v>
      </c>
      <c r="V23" s="30" t="n">
        <f aca="false">V19*Assumptions!$E$27</f>
        <v>8497.96604177531</v>
      </c>
      <c r="W23" s="30" t="n">
        <f aca="false">W19*Assumptions!$E$27</f>
        <v>11637.8364691726</v>
      </c>
      <c r="X23" s="30" t="n">
        <f aca="false">X19*Assumptions!$E$27</f>
        <v>9371.69191508191</v>
      </c>
      <c r="Y23" s="30" t="n">
        <f aca="false">Y19*Assumptions!$E$27</f>
        <v>9476.37328239697</v>
      </c>
      <c r="Z23" s="30" t="n">
        <f aca="false">Z19*Assumptions!$E$27</f>
        <v>12654.8314777393</v>
      </c>
      <c r="AA23" s="30" t="n">
        <f aca="false">AA19*Assumptions!$E$27</f>
        <v>12252.8009424753</v>
      </c>
      <c r="AB23" s="30" t="n">
        <f aca="false">AB19*Assumptions!$E$27</f>
        <v>12737.2150447139</v>
      </c>
      <c r="AC23" s="30" t="n">
        <f aca="false">AC19*Assumptions!$E$27</f>
        <v>16219.5642998461</v>
      </c>
      <c r="AD23" s="30" t="n">
        <f aca="false">AD19*Assumptions!$E$27</f>
        <v>14247.5072403557</v>
      </c>
      <c r="AE23" s="30" t="n">
        <f aca="false">AE19*Assumptions!$E$27</f>
        <v>14612.216304848</v>
      </c>
      <c r="AF23" s="30" t="n">
        <f aca="false">AF19*Assumptions!$E$27</f>
        <v>18027.5250738739</v>
      </c>
      <c r="AG23" s="30" t="n">
        <f aca="false">AG19*Assumptions!$E$27</f>
        <v>16029.2902395394</v>
      </c>
      <c r="AH23" s="30" t="n">
        <f aca="false">AH19*Assumptions!$E$27</f>
        <v>16399.9147180184</v>
      </c>
      <c r="AI23" s="30" t="n">
        <f aca="false">AI19*Assumptions!$E$27</f>
        <v>19846.7417173613</v>
      </c>
      <c r="AJ23" s="30" t="n">
        <f aca="false">AJ19*Assumptions!$E$27</f>
        <v>17900.8521257812</v>
      </c>
      <c r="AK23" s="30" t="n">
        <f aca="false">AK19*Assumptions!$E$27</f>
        <v>18341.1645005435</v>
      </c>
      <c r="AL23" s="30" t="n">
        <f aca="false">AL19*Assumptions!$E$27</f>
        <v>21872.5121241695</v>
      </c>
    </row>
    <row r="24" customFormat="false" ht="15" hidden="false" customHeight="false" outlineLevel="0" collapsed="false">
      <c r="A24" s="3" t="s">
        <v>124</v>
      </c>
      <c r="C24" s="30" t="n">
        <f aca="false">C17*Assumptions!$E$29*Assumptions!$E$30</f>
        <v>1280.68181818182</v>
      </c>
      <c r="D24" s="30" t="n">
        <f aca="false">D17*Assumptions!$E$29*Assumptions!$E$30</f>
        <v>1012.45454545455</v>
      </c>
      <c r="E24" s="30" t="n">
        <f aca="false">E17*Assumptions!$E$29*Assumptions!$E$30</f>
        <v>2435.89659090909</v>
      </c>
      <c r="F24" s="30" t="n">
        <f aca="false">F17*Assumptions!$E$29*Assumptions!$E$30</f>
        <v>1456.487375</v>
      </c>
      <c r="G24" s="30" t="n">
        <f aca="false">G17*Assumptions!$E$29*Assumptions!$E$30</f>
        <v>1484.50776806818</v>
      </c>
      <c r="H24" s="30" t="n">
        <f aca="false">H17*Assumptions!$E$29*Assumptions!$E$30</f>
        <v>2833.34250616932</v>
      </c>
      <c r="I24" s="30" t="n">
        <f aca="false">I17*Assumptions!$E$29*Assumptions!$E$30</f>
        <v>1800.58216964317</v>
      </c>
      <c r="J24" s="30" t="n">
        <f aca="false">J17*Assumptions!$E$29*Assumptions!$E$30</f>
        <v>1791.34984374044</v>
      </c>
      <c r="K24" s="30" t="n">
        <f aca="false">K17*Assumptions!$E$29*Assumptions!$E$30</f>
        <v>3115.17130139479</v>
      </c>
      <c r="L24" s="30" t="n">
        <f aca="false">L17*Assumptions!$E$29*Assumptions!$E$30</f>
        <v>2066.75283884182</v>
      </c>
      <c r="M24" s="30" t="n">
        <f aca="false">M17*Assumptions!$E$29*Assumptions!$E$30</f>
        <v>2049.06486278575</v>
      </c>
      <c r="N24" s="30" t="n">
        <f aca="false">N17*Assumptions!$E$29*Assumptions!$E$30</f>
        <v>3370.02980385387</v>
      </c>
      <c r="O24" s="30" t="n">
        <f aca="false">O17*Assumptions!$E$29*Assumptions!$E$30</f>
        <v>2800.43601542447</v>
      </c>
      <c r="P24" s="30" t="n">
        <f aca="false">P17*Assumptions!$E$29*Assumptions!$E$30</f>
        <v>2873.73708476355</v>
      </c>
      <c r="Q24" s="30" t="n">
        <f aca="false">Q17*Assumptions!$E$29*Assumptions!$E$30</f>
        <v>4267.09476388685</v>
      </c>
      <c r="R24" s="30" t="n">
        <f aca="false">R17*Assumptions!$E$29*Assumptions!$E$30</f>
        <v>3278.92281297545</v>
      </c>
      <c r="S24" s="30" t="n">
        <f aca="false">S17*Assumptions!$E$29*Assumptions!$E$30</f>
        <v>3314.99972692279</v>
      </c>
      <c r="T24" s="30" t="n">
        <f aca="false">T17*Assumptions!$E$29*Assumptions!$E$30</f>
        <v>4685.38314214204</v>
      </c>
      <c r="U24" s="30" t="n">
        <f aca="false">U17*Assumptions!$E$29*Assumptions!$E$30</f>
        <v>3685.22097710074</v>
      </c>
      <c r="V24" s="30" t="n">
        <f aca="false">V17*Assumptions!$E$29*Assumptions!$E$30</f>
        <v>3717.8601432767</v>
      </c>
      <c r="W24" s="30" t="n">
        <f aca="false">W17*Assumptions!$E$29*Assumptions!$E$30</f>
        <v>5091.55345526301</v>
      </c>
      <c r="X24" s="30" t="n">
        <f aca="false">X17*Assumptions!$E$29*Assumptions!$E$30</f>
        <v>4100.11521284834</v>
      </c>
      <c r="Y24" s="30" t="n">
        <f aca="false">Y17*Assumptions!$E$29*Assumptions!$E$30</f>
        <v>4145.91331104868</v>
      </c>
      <c r="Z24" s="30" t="n">
        <f aca="false">Z17*Assumptions!$E$29*Assumptions!$E$30</f>
        <v>5536.48877151095</v>
      </c>
      <c r="AA24" s="30" t="n">
        <f aca="false">AA17*Assumptions!$E$29*Assumptions!$E$30</f>
        <v>5360.60041233293</v>
      </c>
      <c r="AB24" s="30" t="n">
        <f aca="false">AB17*Assumptions!$E$29*Assumptions!$E$30</f>
        <v>5572.53158206232</v>
      </c>
      <c r="AC24" s="30" t="n">
        <f aca="false">AC17*Assumptions!$E$29*Assumptions!$E$30</f>
        <v>7096.05938118266</v>
      </c>
      <c r="AD24" s="30" t="n">
        <f aca="false">AD17*Assumptions!$E$29*Assumptions!$E$30</f>
        <v>6233.28441765561</v>
      </c>
      <c r="AE24" s="30" t="n">
        <f aca="false">AE17*Assumptions!$E$29*Assumptions!$E$30</f>
        <v>6392.84463337099</v>
      </c>
      <c r="AF24" s="30" t="n">
        <f aca="false">AF17*Assumptions!$E$29*Assumptions!$E$30</f>
        <v>7887.04221981983</v>
      </c>
      <c r="AG24" s="30" t="n">
        <f aca="false">AG17*Assumptions!$E$29*Assumptions!$E$30</f>
        <v>7012.8144797985</v>
      </c>
      <c r="AH24" s="30" t="n">
        <f aca="false">AH17*Assumptions!$E$29*Assumptions!$E$30</f>
        <v>7174.96268913306</v>
      </c>
      <c r="AI24" s="30" t="n">
        <f aca="false">AI17*Assumptions!$E$29*Assumptions!$E$30</f>
        <v>8682.94950134558</v>
      </c>
      <c r="AJ24" s="30" t="n">
        <f aca="false">AJ17*Assumptions!$E$29*Assumptions!$E$30</f>
        <v>7831.62280502927</v>
      </c>
      <c r="AK24" s="30" t="n">
        <f aca="false">AK17*Assumptions!$E$29*Assumptions!$E$30</f>
        <v>8024.25946898778</v>
      </c>
      <c r="AL24" s="30" t="n">
        <f aca="false">AL17*Assumptions!$E$29*Assumptions!$E$30</f>
        <v>9569.22405432416</v>
      </c>
    </row>
    <row r="25" customFormat="false" ht="15" hidden="false" customHeight="false" outlineLevel="0" collapsed="false">
      <c r="A25" s="3" t="s">
        <v>125</v>
      </c>
      <c r="C25" s="30" t="n">
        <f aca="false">IF(C$3&gt;=7,Assumptions!$E$31*1.05^(C$3-7),0)</f>
        <v>0</v>
      </c>
      <c r="D25" s="30" t="n">
        <f aca="false">IF(D$3&gt;=7,Assumptions!$E$31*1.05^(D$3-7),0)</f>
        <v>0</v>
      </c>
      <c r="E25" s="30" t="n">
        <f aca="false">IF(E$3&gt;=7,Assumptions!$E$31*1.05^(E$3-7),0)</f>
        <v>0</v>
      </c>
      <c r="F25" s="30" t="n">
        <f aca="false">IF(F$3&gt;=7,Assumptions!$E$31*1.05^(F$3-7),0)</f>
        <v>0</v>
      </c>
      <c r="G25" s="30" t="n">
        <f aca="false">IF(G$3&gt;=7,Assumptions!$E$31*1.05^(G$3-7),0)</f>
        <v>0</v>
      </c>
      <c r="H25" s="30" t="n">
        <f aca="false">IF(H$3&gt;=7,Assumptions!$E$31*1.05^(H$3-7),0)</f>
        <v>0</v>
      </c>
      <c r="I25" s="30" t="n">
        <f aca="false">IF(I$3&gt;=7,Assumptions!$E$31*1.05^(I$3-7),0)</f>
        <v>5000</v>
      </c>
      <c r="J25" s="30" t="n">
        <f aca="false">IF(J$3&gt;=7,Assumptions!$E$31*1.05^(J$3-7),0)</f>
        <v>5250</v>
      </c>
      <c r="K25" s="30" t="n">
        <f aca="false">IF(K$3&gt;=7,Assumptions!$E$31*1.05^(K$3-7),0)</f>
        <v>5512.5</v>
      </c>
      <c r="L25" s="30" t="n">
        <f aca="false">IF(L$3&gt;=7,Assumptions!$E$31*1.05^(L$3-7),0)</f>
        <v>5788.125</v>
      </c>
      <c r="M25" s="30" t="n">
        <f aca="false">IF(M$3&gt;=7,Assumptions!$E$31*1.05^(M$3-7),0)</f>
        <v>6077.53125</v>
      </c>
      <c r="N25" s="30" t="n">
        <f aca="false">IF(N$3&gt;=7,Assumptions!$E$31*1.05^(N$3-7),0)</f>
        <v>6381.4078125</v>
      </c>
      <c r="O25" s="30" t="n">
        <f aca="false">IF(O$3&gt;=7,Assumptions!$E$31*1.05^(O$3-7),0)</f>
        <v>6700.478203125</v>
      </c>
      <c r="P25" s="30" t="n">
        <f aca="false">IF(P$3&gt;=7,Assumptions!$E$31*1.05^(P$3-7),0)</f>
        <v>7035.50211328125</v>
      </c>
      <c r="Q25" s="30" t="n">
        <f aca="false">IF(Q$3&gt;=7,Assumptions!$E$31*1.05^(Q$3-7),0)</f>
        <v>7387.27721894532</v>
      </c>
      <c r="R25" s="30" t="n">
        <f aca="false">IF(R$3&gt;=7,Assumptions!$E$31*1.05^(R$3-7),0)</f>
        <v>7756.64107989258</v>
      </c>
      <c r="S25" s="30" t="n">
        <f aca="false">IF(S$3&gt;=7,Assumptions!$E$31*1.05^(S$3-7),0)</f>
        <v>8144.47313388721</v>
      </c>
      <c r="T25" s="30" t="n">
        <f aca="false">IF(T$3&gt;=7,Assumptions!$E$31*1.05^(T$3-7),0)</f>
        <v>8551.69679058157</v>
      </c>
      <c r="U25" s="30" t="n">
        <f aca="false">IF(U$3&gt;=7,Assumptions!$E$31*1.05^(U$3-7),0)</f>
        <v>8979.28163011065</v>
      </c>
      <c r="V25" s="30" t="n">
        <f aca="false">IF(V$3&gt;=7,Assumptions!$E$31*1.05^(V$3-7),0)</f>
        <v>9428.24571161618</v>
      </c>
      <c r="W25" s="30" t="n">
        <f aca="false">IF(W$3&gt;=7,Assumptions!$E$31*1.05^(W$3-7),0)</f>
        <v>9899.65799719699</v>
      </c>
      <c r="X25" s="30" t="n">
        <f aca="false">IF(X$3&gt;=7,Assumptions!$E$31*1.05^(X$3-7),0)</f>
        <v>10394.6408970568</v>
      </c>
      <c r="Y25" s="30" t="n">
        <f aca="false">IF(Y$3&gt;=7,Assumptions!$E$31*1.05^(Y$3-7),0)</f>
        <v>10914.3729419097</v>
      </c>
      <c r="Z25" s="30" t="n">
        <f aca="false">IF(Z$3&gt;=7,Assumptions!$E$31*1.05^(Z$3-7),0)</f>
        <v>11460.0915890052</v>
      </c>
      <c r="AA25" s="30" t="n">
        <f aca="false">IF(AA$3&gt;=7,Assumptions!$E$31*1.05^(AA$3-7),0)</f>
        <v>12033.0961684554</v>
      </c>
      <c r="AB25" s="30" t="n">
        <f aca="false">IF(AB$3&gt;=7,Assumptions!$E$31*1.05^(AB$3-7),0)</f>
        <v>12634.7509768782</v>
      </c>
      <c r="AC25" s="30" t="n">
        <f aca="false">IF(AC$3&gt;=7,Assumptions!$E$31*1.05^(AC$3-7),0)</f>
        <v>13266.4885257221</v>
      </c>
      <c r="AD25" s="30" t="n">
        <f aca="false">IF(AD$3&gt;=7,Assumptions!$E$31*1.05^(AD$3-7),0)</f>
        <v>13929.8129520082</v>
      </c>
      <c r="AE25" s="30" t="n">
        <f aca="false">IF(AE$3&gt;=7,Assumptions!$E$31*1.05^(AE$3-7),0)</f>
        <v>14626.3035996086</v>
      </c>
      <c r="AF25" s="30" t="n">
        <f aca="false">IF(AF$3&gt;=7,Assumptions!$E$31*1.05^(AF$3-7),0)</f>
        <v>15357.6187795891</v>
      </c>
      <c r="AG25" s="30" t="n">
        <f aca="false">IF(AG$3&gt;=7,Assumptions!$E$31*1.05^(AG$3-7),0)</f>
        <v>16125.4997185685</v>
      </c>
      <c r="AH25" s="30" t="n">
        <f aca="false">IF(AH$3&gt;=7,Assumptions!$E$31*1.05^(AH$3-7),0)</f>
        <v>16931.7747044969</v>
      </c>
      <c r="AI25" s="30" t="n">
        <f aca="false">IF(AI$3&gt;=7,Assumptions!$E$31*1.05^(AI$3-7),0)</f>
        <v>17778.3634397218</v>
      </c>
      <c r="AJ25" s="30" t="n">
        <f aca="false">IF(AJ$3&gt;=7,Assumptions!$E$31*1.05^(AJ$3-7),0)</f>
        <v>18667.2816117079</v>
      </c>
      <c r="AK25" s="30" t="n">
        <f aca="false">IF(AK$3&gt;=7,Assumptions!$E$31*1.05^(AK$3-7),0)</f>
        <v>19600.6456922933</v>
      </c>
      <c r="AL25" s="30" t="n">
        <f aca="false">IF(AL$3&gt;=7,Assumptions!$E$31*1.05^(AL$3-7),0)</f>
        <v>20580.6779769079</v>
      </c>
    </row>
    <row r="26" customFormat="false" ht="15" hidden="false" customHeight="false" outlineLevel="0" collapsed="false">
      <c r="A26" s="1" t="s">
        <v>126</v>
      </c>
      <c r="C26" s="32" t="n">
        <f aca="false">SUM(C22:C25)</f>
        <v>5086.13636363636</v>
      </c>
      <c r="D26" s="32" t="n">
        <f aca="false">SUM(D22:D25)</f>
        <v>4020.89090909091</v>
      </c>
      <c r="E26" s="32" t="n">
        <f aca="false">SUM(E22:E25)</f>
        <v>9673.98931818182</v>
      </c>
      <c r="F26" s="32" t="n">
        <f aca="false">SUM(F22:F25)</f>
        <v>5784.335575</v>
      </c>
      <c r="G26" s="32" t="n">
        <f aca="false">SUM(G22:G25)</f>
        <v>5895.61656461364</v>
      </c>
      <c r="H26" s="32" t="n">
        <f aca="false">SUM(H22:H25)</f>
        <v>11252.4173816439</v>
      </c>
      <c r="I26" s="32" t="n">
        <f aca="false">SUM(I22:I25)</f>
        <v>12150.8834737257</v>
      </c>
      <c r="J26" s="32" t="n">
        <f aca="false">SUM(J22:J25)</f>
        <v>12364.2179508549</v>
      </c>
      <c r="K26" s="32" t="n">
        <f aca="false">SUM(K22:K25)</f>
        <v>17884.1803112536</v>
      </c>
      <c r="L26" s="32" t="n">
        <f aca="false">SUM(L22:L25)</f>
        <v>13996.0862742575</v>
      </c>
      <c r="M26" s="32" t="n">
        <f aca="false">SUM(M22:M25)</f>
        <v>14215.2459907777</v>
      </c>
      <c r="N26" s="32" t="n">
        <f aca="false">SUM(N22:N25)</f>
        <v>19765.2404620911</v>
      </c>
      <c r="O26" s="32" t="n">
        <f aca="false">SUM(O22:O25)</f>
        <v>17822.2098072393</v>
      </c>
      <c r="P26" s="32" t="n">
        <f aca="false">SUM(P22:P25)</f>
        <v>18448.3436784851</v>
      </c>
      <c r="Q26" s="32" t="n">
        <f aca="false">SUM(Q22:Q25)</f>
        <v>24333.7392812388</v>
      </c>
      <c r="R26" s="32" t="n">
        <f aca="false">SUM(R22:R25)</f>
        <v>20778.6488228522</v>
      </c>
      <c r="S26" s="32" t="n">
        <f aca="false">SUM(S22:S25)</f>
        <v>21309.7577636663</v>
      </c>
      <c r="T26" s="32" t="n">
        <f aca="false">SUM(T22:T25)</f>
        <v>27159.3612693742</v>
      </c>
      <c r="U26" s="32" t="n">
        <f aca="false">SUM(U22:U25)</f>
        <v>23614.8735105965</v>
      </c>
      <c r="V26" s="32" t="n">
        <f aca="false">SUM(V22:V25)</f>
        <v>24193.4617092008</v>
      </c>
      <c r="W26" s="32" t="n">
        <f aca="false">SUM(W22:W25)</f>
        <v>30120.3988623844</v>
      </c>
      <c r="X26" s="32" t="n">
        <f aca="false">SUM(X22:X25)</f>
        <v>26677.9555995117</v>
      </c>
      <c r="Y26" s="32" t="n">
        <f aca="false">SUM(Y22:Y25)</f>
        <v>27379.5715200744</v>
      </c>
      <c r="Z26" s="32" t="n">
        <f aca="false">SUM(Z22:Z25)</f>
        <v>33447.8612815772</v>
      </c>
      <c r="AA26" s="32" t="n">
        <f aca="false">SUM(AA22:AA25)</f>
        <v>33322.3378060062</v>
      </c>
      <c r="AB26" s="32" t="n">
        <f aca="false">SUM(AB22:AB25)</f>
        <v>34765.6621170686</v>
      </c>
      <c r="AC26" s="32" t="n">
        <f aca="false">SUM(AC22:AC25)</f>
        <v>41447.9814967047</v>
      </c>
      <c r="AD26" s="32" t="n">
        <f aca="false">SUM(AD22:AD25)</f>
        <v>38684.8567821262</v>
      </c>
      <c r="AE26" s="32" t="n">
        <f aca="false">SUM(AE22:AE25)</f>
        <v>40015.029429282</v>
      </c>
      <c r="AF26" s="32" t="n">
        <f aca="false">SUM(AF22:AF25)</f>
        <v>46680.443595445</v>
      </c>
      <c r="AG26" s="32" t="n">
        <f aca="false">SUM(AG22:AG25)</f>
        <v>43976.3915097683</v>
      </c>
      <c r="AH26" s="32" t="n">
        <f aca="false">SUM(AH22:AH25)</f>
        <v>45426.626527054</v>
      </c>
      <c r="AI26" s="32" t="n">
        <f aca="false">SUM(AI22:AI25)</f>
        <v>52262.0771736371</v>
      </c>
      <c r="AJ26" s="32" t="n">
        <f aca="false">SUM(AJ22:AJ25)</f>
        <v>49770.0121802527</v>
      </c>
      <c r="AK26" s="32" t="n">
        <f aca="false">SUM(AK22:AK25)</f>
        <v>51468.4190119876</v>
      </c>
      <c r="AL26" s="32" t="n">
        <f aca="false">SUM(AL22:AL25)</f>
        <v>58584.1677926525</v>
      </c>
    </row>
    <row r="27" customFormat="false" ht="15" hidden="false" customHeight="false" outlineLevel="0" collapsed="false">
      <c r="A27" s="9" t="s">
        <v>160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</row>
    <row r="28" customFormat="false" ht="15" hidden="false" customHeight="false" outlineLevel="0" collapsed="false">
      <c r="A28" s="3" t="s">
        <v>161</v>
      </c>
      <c r="C28" s="30" t="n">
        <f aca="false">(C22+C23)*Assumptions!$E$33</f>
        <v>570.818181818182</v>
      </c>
      <c r="D28" s="30" t="n">
        <f aca="false">(D22+D23)*Assumptions!$E$33</f>
        <v>451.265454545455</v>
      </c>
      <c r="E28" s="30" t="n">
        <f aca="false">(E22+E23)*Assumptions!$E$33</f>
        <v>1085.71390909091</v>
      </c>
      <c r="F28" s="30" t="n">
        <f aca="false">(F22+F23)*Assumptions!$E$33</f>
        <v>649.17723</v>
      </c>
      <c r="G28" s="30" t="n">
        <f aca="false">(G22+G23)*Assumptions!$E$33</f>
        <v>661.666319481818</v>
      </c>
      <c r="H28" s="30" t="n">
        <f aca="false">(H22+H23)*Assumptions!$E$33</f>
        <v>1262.86123132118</v>
      </c>
      <c r="I28" s="30" t="n">
        <f aca="false">(I22+I23)*Assumptions!$E$33</f>
        <v>802.545195612385</v>
      </c>
      <c r="J28" s="30" t="n">
        <f aca="false">(J22+J23)*Assumptions!$E$33</f>
        <v>798.430216067168</v>
      </c>
      <c r="K28" s="30" t="n">
        <f aca="false">(K22+K23)*Assumptions!$E$33</f>
        <v>1388.47635147882</v>
      </c>
      <c r="L28" s="30" t="n">
        <f aca="false">(L22+L23)*Assumptions!$E$33</f>
        <v>921.181265312354</v>
      </c>
      <c r="M28" s="30" t="n">
        <f aca="false">(M22+M23)*Assumptions!$E$33</f>
        <v>913.297481698791</v>
      </c>
      <c r="N28" s="30" t="n">
        <f aca="false">(N22+N23)*Assumptions!$E$33</f>
        <v>1502.07042686058</v>
      </c>
      <c r="O28" s="30" t="n">
        <f aca="false">(O22+O23)*Assumptions!$E$33</f>
        <v>1248.19433830348</v>
      </c>
      <c r="P28" s="30" t="n">
        <f aca="false">(P22+P23)*Assumptions!$E$33</f>
        <v>1280.86567206604</v>
      </c>
      <c r="Q28" s="30" t="n">
        <f aca="false">(Q22+Q23)*Assumptions!$E$33</f>
        <v>1901.905094761</v>
      </c>
      <c r="R28" s="30" t="n">
        <f aca="false">(R22+R23)*Assumptions!$E$33</f>
        <v>1461.46273949763</v>
      </c>
      <c r="S28" s="30" t="n">
        <f aca="false">(S22+S23)*Assumptions!$E$33</f>
        <v>1477.54273542844</v>
      </c>
      <c r="T28" s="30" t="n">
        <f aca="false">(T22+T23)*Assumptions!$E$33</f>
        <v>2088.34220049759</v>
      </c>
      <c r="U28" s="30" t="n">
        <f aca="false">(U22+U23)*Assumptions!$E$33</f>
        <v>1642.55563550776</v>
      </c>
      <c r="V28" s="30" t="n">
        <f aca="false">(V22+V23)*Assumptions!$E$33</f>
        <v>1657.10337814619</v>
      </c>
      <c r="W28" s="30" t="n">
        <f aca="false">(W22+W23)*Assumptions!$E$33</f>
        <v>2269.37811148865</v>
      </c>
      <c r="X28" s="30" t="n">
        <f aca="false">(X22+X23)*Assumptions!$E$33</f>
        <v>1827.47992344097</v>
      </c>
      <c r="Y28" s="30" t="n">
        <f aca="false">(Y22+Y23)*Assumptions!$E$33</f>
        <v>1847.89279006741</v>
      </c>
      <c r="Z28" s="30" t="n">
        <f aca="false">(Z22+Z23)*Assumptions!$E$33</f>
        <v>2467.69213815916</v>
      </c>
      <c r="AA28" s="30" t="n">
        <f aca="false">(AA22+AA23)*Assumptions!$E$33</f>
        <v>2389.29618378268</v>
      </c>
      <c r="AB28" s="30" t="n">
        <f aca="false">(AB22+AB23)*Assumptions!$E$33</f>
        <v>2483.7569337192</v>
      </c>
      <c r="AC28" s="30" t="n">
        <f aca="false">(AC22+AC23)*Assumptions!$E$33</f>
        <v>3162.81503846998</v>
      </c>
      <c r="AD28" s="30" t="n">
        <f aca="false">(AD22+AD23)*Assumptions!$E$33</f>
        <v>2778.26391186936</v>
      </c>
      <c r="AE28" s="30" t="n">
        <f aca="false">(AE22+AE23)*Assumptions!$E$33</f>
        <v>2849.38217944536</v>
      </c>
      <c r="AF28" s="30" t="n">
        <f aca="false">(AF22+AF23)*Assumptions!$E$33</f>
        <v>3515.36738940541</v>
      </c>
      <c r="AG28" s="30" t="n">
        <f aca="false">(AG22+AG23)*Assumptions!$E$33</f>
        <v>3125.71159671019</v>
      </c>
      <c r="AH28" s="30" t="n">
        <f aca="false">(AH22+AH23)*Assumptions!$E$33</f>
        <v>3197.98337001359</v>
      </c>
      <c r="AI28" s="30" t="n">
        <f aca="false">(AI22+AI23)*Assumptions!$E$33</f>
        <v>3870.11463488546</v>
      </c>
      <c r="AJ28" s="30" t="n">
        <f aca="false">(AJ22+AJ23)*Assumptions!$E$33</f>
        <v>3490.66616452733</v>
      </c>
      <c r="AK28" s="30" t="n">
        <f aca="false">(AK22+AK23)*Assumptions!$E$33</f>
        <v>3576.52707760598</v>
      </c>
      <c r="AL28" s="30" t="n">
        <f aca="false">(AL22+AL23)*Assumptions!$E$33</f>
        <v>4265.13986421305</v>
      </c>
    </row>
    <row r="29" customFormat="false" ht="15" hidden="false" customHeight="false" outlineLevel="0" collapsed="false">
      <c r="A29" s="3" t="s">
        <v>162</v>
      </c>
      <c r="C29" s="30" t="n">
        <f aca="false">MAX(0,C22+C23-Assumptions!$E$34)*Assumptions!$E$35</f>
        <v>13.0545454545455</v>
      </c>
      <c r="D29" s="30" t="n">
        <f aca="false">MAX(0,D22+D23-Assumptions!$E$34)*Assumptions!$E$35</f>
        <v>5.08436363636363</v>
      </c>
      <c r="E29" s="30" t="n">
        <f aca="false">MAX(0,E22+E23-Assumptions!$E$34)*Assumptions!$E$35</f>
        <v>47.3809272727273</v>
      </c>
      <c r="F29" s="30" t="n">
        <f aca="false">MAX(0,F22+F23-Assumptions!$E$34)*Assumptions!$E$35</f>
        <v>18.278482</v>
      </c>
      <c r="G29" s="30" t="n">
        <f aca="false">MAX(0,G22+G23-Assumptions!$E$34)*Assumptions!$E$35</f>
        <v>19.1110879654546</v>
      </c>
      <c r="H29" s="30" t="n">
        <f aca="false">MAX(0,H22+H23-Assumptions!$E$34)*Assumptions!$E$35</f>
        <v>59.1907487547455</v>
      </c>
      <c r="I29" s="30" t="n">
        <f aca="false">MAX(0,I22+I23-Assumptions!$E$34)*Assumptions!$E$35</f>
        <v>28.5030130408257</v>
      </c>
      <c r="J29" s="30" t="n">
        <f aca="false">MAX(0,J22+J23-Assumptions!$E$34)*Assumptions!$E$35</f>
        <v>28.2286810711445</v>
      </c>
      <c r="K29" s="30" t="n">
        <f aca="false">MAX(0,K22+K23-Assumptions!$E$34)*Assumptions!$E$35</f>
        <v>67.5650900985879</v>
      </c>
      <c r="L29" s="30" t="n">
        <f aca="false">MAX(0,L22+L23-Assumptions!$E$34)*Assumptions!$E$35</f>
        <v>36.4120843541569</v>
      </c>
      <c r="M29" s="30" t="n">
        <f aca="false">MAX(0,M22+M23-Assumptions!$E$34)*Assumptions!$E$35</f>
        <v>35.8864987799194</v>
      </c>
      <c r="N29" s="30" t="n">
        <f aca="false">MAX(0,N22+N23-Assumptions!$E$34)*Assumptions!$E$35</f>
        <v>75.1380284573721</v>
      </c>
      <c r="O29" s="30" t="n">
        <f aca="false">MAX(0,O22+O23-Assumptions!$E$34)*Assumptions!$E$35</f>
        <v>58.2129558868985</v>
      </c>
      <c r="P29" s="30" t="n">
        <f aca="false">MAX(0,P22+P23-Assumptions!$E$34)*Assumptions!$E$35</f>
        <v>60.3910448044027</v>
      </c>
      <c r="Q29" s="30" t="n">
        <f aca="false">MAX(0,Q22+Q23-Assumptions!$E$34)*Assumptions!$E$35</f>
        <v>101.793672984066</v>
      </c>
      <c r="R29" s="30" t="n">
        <f aca="false">MAX(0,R22+R23-Assumptions!$E$34)*Assumptions!$E$35</f>
        <v>72.4308492998418</v>
      </c>
      <c r="S29" s="30" t="n">
        <f aca="false">MAX(0,S22+S23-Assumptions!$E$34)*Assumptions!$E$35</f>
        <v>73.5028490285628</v>
      </c>
      <c r="T29" s="30" t="n">
        <f aca="false">MAX(0,T22+T23-Assumptions!$E$34)*Assumptions!$E$35</f>
        <v>114.222813366506</v>
      </c>
      <c r="U29" s="30" t="n">
        <f aca="false">MAX(0,U22+U23-Assumptions!$E$34)*Assumptions!$E$35</f>
        <v>84.5037090338506</v>
      </c>
      <c r="V29" s="30" t="n">
        <f aca="false">MAX(0,V22+V23-Assumptions!$E$34)*Assumptions!$E$35</f>
        <v>85.473558543079</v>
      </c>
      <c r="W29" s="30" t="n">
        <f aca="false">MAX(0,W22+W23-Assumptions!$E$34)*Assumptions!$E$35</f>
        <v>126.291874099244</v>
      </c>
      <c r="X29" s="30" t="n">
        <f aca="false">MAX(0,X22+X23-Assumptions!$E$34)*Assumptions!$E$35</f>
        <v>96.8319948960649</v>
      </c>
      <c r="Y29" s="30" t="n">
        <f aca="false">MAX(0,Y22+Y23-Assumptions!$E$34)*Assumptions!$E$35</f>
        <v>98.1928526711606</v>
      </c>
      <c r="Z29" s="30" t="n">
        <f aca="false">MAX(0,Z22+Z23-Assumptions!$E$34)*Assumptions!$E$35</f>
        <v>139.512809210611</v>
      </c>
      <c r="AA29" s="30" t="n">
        <f aca="false">MAX(0,AA22+AA23-Assumptions!$E$34)*Assumptions!$E$35</f>
        <v>134.286412252179</v>
      </c>
      <c r="AB29" s="30" t="n">
        <f aca="false">MAX(0,AB22+AB23-Assumptions!$E$34)*Assumptions!$E$35</f>
        <v>140.58379558128</v>
      </c>
      <c r="AC29" s="30" t="n">
        <f aca="false">MAX(0,AC22+AC23-Assumptions!$E$34)*Assumptions!$E$35</f>
        <v>185.854335897999</v>
      </c>
      <c r="AD29" s="30" t="n">
        <f aca="false">MAX(0,AD22+AD23-Assumptions!$E$34)*Assumptions!$E$35</f>
        <v>160.217594124624</v>
      </c>
      <c r="AE29" s="30" t="n">
        <f aca="false">MAX(0,AE22+AE23-Assumptions!$E$34)*Assumptions!$E$35</f>
        <v>164.958811963024</v>
      </c>
      <c r="AF29" s="30" t="n">
        <f aca="false">MAX(0,AF22+AF23-Assumptions!$E$34)*Assumptions!$E$35</f>
        <v>209.357825960361</v>
      </c>
      <c r="AG29" s="30" t="n">
        <f aca="false">MAX(0,AG22+AG23-Assumptions!$E$34)*Assumptions!$E$35</f>
        <v>183.380773114013</v>
      </c>
      <c r="AH29" s="30" t="n">
        <f aca="false">MAX(0,AH22+AH23-Assumptions!$E$34)*Assumptions!$E$35</f>
        <v>188.19889133424</v>
      </c>
      <c r="AI29" s="30" t="n">
        <f aca="false">MAX(0,AI22+AI23-Assumptions!$E$34)*Assumptions!$E$35</f>
        <v>233.007642325697</v>
      </c>
      <c r="AJ29" s="30" t="n">
        <f aca="false">MAX(0,AJ22+AJ23-Assumptions!$E$34)*Assumptions!$E$35</f>
        <v>207.711077635155</v>
      </c>
      <c r="AK29" s="30" t="n">
        <f aca="false">MAX(0,AK22+AK23-Assumptions!$E$34)*Assumptions!$E$35</f>
        <v>213.435138507065</v>
      </c>
      <c r="AL29" s="30" t="n">
        <f aca="false">MAX(0,AL22+AL23-Assumptions!$E$34)*Assumptions!$E$35</f>
        <v>259.342657614204</v>
      </c>
    </row>
    <row r="30" customFormat="false" ht="15" hidden="false" customHeight="false" outlineLevel="0" collapsed="false">
      <c r="A30" s="3" t="s">
        <v>163</v>
      </c>
      <c r="C30" s="30" t="n">
        <f aca="false">C23*(1-Assumptions!$E$33)*Assumptions!$E$28*Assumptions!$E$36</f>
        <v>223.936363636364</v>
      </c>
      <c r="D30" s="30" t="n">
        <f aca="false">D23*(1-Assumptions!$E$33)*Assumptions!$E$28*Assumptions!$E$36</f>
        <v>177.034909090909</v>
      </c>
      <c r="E30" s="30" t="n">
        <f aca="false">E23*(1-Assumptions!$E$33)*Assumptions!$E$28*Assumptions!$E$36</f>
        <v>425.933918181818</v>
      </c>
      <c r="F30" s="30" t="n">
        <f aca="false">F23*(1-Assumptions!$E$33)*Assumptions!$E$28*Assumptions!$E$36</f>
        <v>254.677221</v>
      </c>
      <c r="G30" s="30" t="n">
        <f aca="false">G23*(1-Assumptions!$E$33)*Assumptions!$E$28*Assumptions!$E$36</f>
        <v>259.576786873636</v>
      </c>
      <c r="H30" s="30" t="n">
        <f aca="false">H23*(1-Assumptions!$E$33)*Assumptions!$E$28*Assumptions!$E$36</f>
        <v>495.430175364464</v>
      </c>
      <c r="I30" s="30" t="n">
        <f aca="false">I23*(1-Assumptions!$E$33)*Assumptions!$E$28*Assumptions!$E$36</f>
        <v>314.84465366332</v>
      </c>
      <c r="J30" s="30" t="n">
        <f aca="false">J23*(1-Assumptions!$E$33)*Assumptions!$E$28*Assumptions!$E$36</f>
        <v>313.230315534043</v>
      </c>
      <c r="K30" s="30" t="n">
        <f aca="false">K23*(1-Assumptions!$E$33)*Assumptions!$E$28*Assumptions!$E$36</f>
        <v>544.70995327246</v>
      </c>
      <c r="L30" s="30" t="n">
        <f aca="false">L23*(1-Assumptions!$E$33)*Assumptions!$E$28*Assumptions!$E$36</f>
        <v>361.38649639177</v>
      </c>
      <c r="M30" s="30" t="n">
        <f aca="false">M23*(1-Assumptions!$E$33)*Assumptions!$E$28*Assumptions!$E$36</f>
        <v>358.29362743568</v>
      </c>
      <c r="N30" s="30" t="n">
        <f aca="false">N23*(1-Assumptions!$E$33)*Assumptions!$E$28*Assumptions!$E$36</f>
        <v>589.273782845305</v>
      </c>
      <c r="O30" s="30" t="n">
        <f aca="false">O23*(1-Assumptions!$E$33)*Assumptions!$E$28*Assumptions!$E$36</f>
        <v>489.676240411364</v>
      </c>
      <c r="P30" s="30" t="n">
        <f aca="false">P23*(1-Assumptions!$E$33)*Assumptions!$E$28*Assumptions!$E$36</f>
        <v>502.493455964369</v>
      </c>
      <c r="Q30" s="30" t="n">
        <f aca="false">Q23*(1-Assumptions!$E$33)*Assumptions!$E$28*Assumptions!$E$36</f>
        <v>746.131998713929</v>
      </c>
      <c r="R30" s="30" t="n">
        <f aca="false">R23*(1-Assumptions!$E$33)*Assumptions!$E$28*Assumptions!$E$36</f>
        <v>573.343074725992</v>
      </c>
      <c r="S30" s="30" t="n">
        <f aca="false">S23*(1-Assumptions!$E$33)*Assumptions!$E$28*Assumptions!$E$36</f>
        <v>579.651380821927</v>
      </c>
      <c r="T30" s="30" t="n">
        <f aca="false">T23*(1-Assumptions!$E$33)*Assumptions!$E$28*Assumptions!$E$36</f>
        <v>819.272709425979</v>
      </c>
      <c r="U30" s="30" t="n">
        <f aca="false">U23*(1-Assumptions!$E$33)*Assumptions!$E$28*Assumptions!$E$36</f>
        <v>644.387210853044</v>
      </c>
      <c r="V30" s="30" t="n">
        <f aca="false">V23*(1-Assumptions!$E$33)*Assumptions!$E$28*Assumptions!$E$36</f>
        <v>650.094402195811</v>
      </c>
      <c r="W30" s="30" t="n">
        <f aca="false">W23*(1-Assumptions!$E$33)*Assumptions!$E$28*Assumptions!$E$36</f>
        <v>890.294489891703</v>
      </c>
      <c r="X30" s="30" t="n">
        <f aca="false">X23*(1-Assumptions!$E$33)*Assumptions!$E$28*Assumptions!$E$36</f>
        <v>716.934431503766</v>
      </c>
      <c r="Y30" s="30" t="n">
        <f aca="false">Y23*(1-Assumptions!$E$33)*Assumptions!$E$28*Assumptions!$E$36</f>
        <v>724.942556103368</v>
      </c>
      <c r="Z30" s="30" t="n">
        <f aca="false">Z23*(1-Assumptions!$E$33)*Assumptions!$E$28*Assumptions!$E$36</f>
        <v>968.094608047057</v>
      </c>
      <c r="AA30" s="30" t="n">
        <f aca="false">AA23*(1-Assumptions!$E$33)*Assumptions!$E$28*Assumptions!$E$36</f>
        <v>937.339272099359</v>
      </c>
      <c r="AB30" s="30" t="n">
        <f aca="false">AB23*(1-Assumptions!$E$33)*Assumptions!$E$28*Assumptions!$E$36</f>
        <v>974.396950920611</v>
      </c>
      <c r="AC30" s="30" t="n">
        <f aca="false">AC23*(1-Assumptions!$E$33)*Assumptions!$E$28*Assumptions!$E$36</f>
        <v>1240.79666893822</v>
      </c>
      <c r="AD30" s="30" t="n">
        <f aca="false">AD23*(1-Assumptions!$E$33)*Assumptions!$E$28*Assumptions!$E$36</f>
        <v>1089.93430388721</v>
      </c>
      <c r="AE30" s="30" t="n">
        <f aca="false">AE23*(1-Assumptions!$E$33)*Assumptions!$E$28*Assumptions!$E$36</f>
        <v>1117.83454732087</v>
      </c>
      <c r="AF30" s="30" t="n">
        <f aca="false">AF23*(1-Assumptions!$E$33)*Assumptions!$E$28*Assumptions!$E$36</f>
        <v>1379.10566815135</v>
      </c>
      <c r="AG30" s="30" t="n">
        <f aca="false">AG23*(1-Assumptions!$E$33)*Assumptions!$E$28*Assumptions!$E$36</f>
        <v>1226.24070332477</v>
      </c>
      <c r="AH30" s="30" t="n">
        <f aca="false">AH23*(1-Assumptions!$E$33)*Assumptions!$E$28*Assumptions!$E$36</f>
        <v>1254.59347592841</v>
      </c>
      <c r="AI30" s="30" t="n">
        <f aca="false">AI23*(1-Assumptions!$E$33)*Assumptions!$E$28*Assumptions!$E$36</f>
        <v>1518.27574137814</v>
      </c>
      <c r="AJ30" s="30" t="n">
        <f aca="false">AJ23*(1-Assumptions!$E$33)*Assumptions!$E$28*Assumptions!$E$36</f>
        <v>1369.41518762226</v>
      </c>
      <c r="AK30" s="30" t="n">
        <f aca="false">AK23*(1-Assumptions!$E$33)*Assumptions!$E$28*Assumptions!$E$36</f>
        <v>1403.09908429158</v>
      </c>
      <c r="AL30" s="30" t="n">
        <f aca="false">AL23*(1-Assumptions!$E$33)*Assumptions!$E$28*Assumptions!$E$36</f>
        <v>1673.24717749897</v>
      </c>
    </row>
    <row r="31" customFormat="false" ht="15" hidden="false" customHeight="false" outlineLevel="0" collapsed="false">
      <c r="A31" s="3" t="s">
        <v>164</v>
      </c>
      <c r="C31" s="30" t="n">
        <f aca="false">C20*Assumptions!$E$37</f>
        <v>0</v>
      </c>
      <c r="D31" s="30" t="n">
        <f aca="false">D20*Assumptions!$E$37</f>
        <v>0</v>
      </c>
      <c r="E31" s="30" t="n">
        <f aca="false">E20*Assumptions!$E$37</f>
        <v>1000</v>
      </c>
      <c r="F31" s="30" t="n">
        <f aca="false">F20*Assumptions!$E$37</f>
        <v>1000</v>
      </c>
      <c r="G31" s="30" t="n">
        <f aca="false">G20*Assumptions!$E$37</f>
        <v>1000</v>
      </c>
      <c r="H31" s="30" t="n">
        <f aca="false">H20*Assumptions!$E$37</f>
        <v>2000</v>
      </c>
      <c r="I31" s="30" t="n">
        <f aca="false">I20*Assumptions!$E$37</f>
        <v>2000</v>
      </c>
      <c r="J31" s="30" t="n">
        <f aca="false">J20*Assumptions!$E$37</f>
        <v>2000</v>
      </c>
      <c r="K31" s="30" t="n">
        <f aca="false">K20*Assumptions!$E$37</f>
        <v>3000</v>
      </c>
      <c r="L31" s="30" t="n">
        <f aca="false">L20*Assumptions!$E$37</f>
        <v>3000</v>
      </c>
      <c r="M31" s="30" t="n">
        <f aca="false">M20*Assumptions!$E$37</f>
        <v>3000</v>
      </c>
      <c r="N31" s="30" t="n">
        <f aca="false">N20*Assumptions!$E$37</f>
        <v>4000</v>
      </c>
      <c r="O31" s="30" t="n">
        <f aca="false">O20*Assumptions!$E$37</f>
        <v>4000</v>
      </c>
      <c r="P31" s="30" t="n">
        <f aca="false">P20*Assumptions!$E$37</f>
        <v>4000</v>
      </c>
      <c r="Q31" s="30" t="n">
        <f aca="false">Q20*Assumptions!$E$37</f>
        <v>4000</v>
      </c>
      <c r="R31" s="30" t="n">
        <f aca="false">R20*Assumptions!$E$37</f>
        <v>4000</v>
      </c>
      <c r="S31" s="30" t="n">
        <f aca="false">S20*Assumptions!$E$37</f>
        <v>4000</v>
      </c>
      <c r="T31" s="30" t="n">
        <f aca="false">T20*Assumptions!$E$37</f>
        <v>4000</v>
      </c>
      <c r="U31" s="30" t="n">
        <f aca="false">U20*Assumptions!$E$37</f>
        <v>4000</v>
      </c>
      <c r="V31" s="30" t="n">
        <f aca="false">V20*Assumptions!$E$37</f>
        <v>4000</v>
      </c>
      <c r="W31" s="30" t="n">
        <f aca="false">W20*Assumptions!$E$37</f>
        <v>4000</v>
      </c>
      <c r="X31" s="30" t="n">
        <f aca="false">X20*Assumptions!$E$37</f>
        <v>4000</v>
      </c>
      <c r="Y31" s="30" t="n">
        <f aca="false">Y20*Assumptions!$E$37</f>
        <v>4000</v>
      </c>
      <c r="Z31" s="30" t="n">
        <f aca="false">Z20*Assumptions!$E$37</f>
        <v>4000</v>
      </c>
      <c r="AA31" s="30" t="n">
        <f aca="false">AA20*Assumptions!$E$37</f>
        <v>4000</v>
      </c>
      <c r="AB31" s="30" t="n">
        <f aca="false">AB20*Assumptions!$E$37</f>
        <v>4000</v>
      </c>
      <c r="AC31" s="30" t="n">
        <f aca="false">AC20*Assumptions!$E$37</f>
        <v>4000</v>
      </c>
      <c r="AD31" s="30" t="n">
        <f aca="false">AD20*Assumptions!$E$37</f>
        <v>4000</v>
      </c>
      <c r="AE31" s="30" t="n">
        <f aca="false">AE20*Assumptions!$E$37</f>
        <v>4000</v>
      </c>
      <c r="AF31" s="30" t="n">
        <f aca="false">AF20*Assumptions!$E$37</f>
        <v>4000</v>
      </c>
      <c r="AG31" s="30" t="n">
        <f aca="false">AG20*Assumptions!$E$37</f>
        <v>4000</v>
      </c>
      <c r="AH31" s="30" t="n">
        <f aca="false">AH20*Assumptions!$E$37</f>
        <v>4000</v>
      </c>
      <c r="AI31" s="30" t="n">
        <f aca="false">AI20*Assumptions!$E$37</f>
        <v>4000</v>
      </c>
      <c r="AJ31" s="30" t="n">
        <f aca="false">AJ20*Assumptions!$E$37</f>
        <v>4000</v>
      </c>
      <c r="AK31" s="30" t="n">
        <f aca="false">AK20*Assumptions!$E$37</f>
        <v>4000</v>
      </c>
      <c r="AL31" s="30" t="n">
        <f aca="false">AL20*Assumptions!$E$37</f>
        <v>4000</v>
      </c>
    </row>
    <row r="32" customFormat="false" ht="15" hidden="false" customHeight="false" outlineLevel="0" collapsed="false">
      <c r="A32" s="3" t="s">
        <v>165</v>
      </c>
      <c r="C32" s="30" t="n">
        <f aca="false">C20*Assumptions!$E$38</f>
        <v>0</v>
      </c>
      <c r="D32" s="30" t="n">
        <f aca="false">D20*Assumptions!$E$38</f>
        <v>0</v>
      </c>
      <c r="E32" s="30" t="n">
        <f aca="false">E20*Assumptions!$E$38</f>
        <v>1500</v>
      </c>
      <c r="F32" s="30" t="n">
        <f aca="false">F20*Assumptions!$E$38</f>
        <v>1500</v>
      </c>
      <c r="G32" s="30" t="n">
        <f aca="false">G20*Assumptions!$E$38</f>
        <v>1500</v>
      </c>
      <c r="H32" s="30" t="n">
        <f aca="false">H20*Assumptions!$E$38</f>
        <v>3000</v>
      </c>
      <c r="I32" s="30" t="n">
        <f aca="false">I20*Assumptions!$E$38</f>
        <v>3000</v>
      </c>
      <c r="J32" s="30" t="n">
        <f aca="false">J20*Assumptions!$E$38</f>
        <v>3000</v>
      </c>
      <c r="K32" s="30" t="n">
        <f aca="false">K20*Assumptions!$E$38</f>
        <v>4500</v>
      </c>
      <c r="L32" s="30" t="n">
        <f aca="false">L20*Assumptions!$E$38</f>
        <v>4500</v>
      </c>
      <c r="M32" s="30" t="n">
        <f aca="false">M20*Assumptions!$E$38</f>
        <v>4500</v>
      </c>
      <c r="N32" s="30" t="n">
        <f aca="false">N20*Assumptions!$E$38</f>
        <v>6000</v>
      </c>
      <c r="O32" s="30" t="n">
        <f aca="false">O20*Assumptions!$E$38</f>
        <v>6000</v>
      </c>
      <c r="P32" s="30" t="n">
        <f aca="false">P20*Assumptions!$E$38</f>
        <v>6000</v>
      </c>
      <c r="Q32" s="30" t="n">
        <f aca="false">Q20*Assumptions!$E$38</f>
        <v>6000</v>
      </c>
      <c r="R32" s="30" t="n">
        <f aca="false">R20*Assumptions!$E$38</f>
        <v>6000</v>
      </c>
      <c r="S32" s="30" t="n">
        <f aca="false">S20*Assumptions!$E$38</f>
        <v>6000</v>
      </c>
      <c r="T32" s="30" t="n">
        <f aca="false">T20*Assumptions!$E$38</f>
        <v>6000</v>
      </c>
      <c r="U32" s="30" t="n">
        <f aca="false">U20*Assumptions!$E$38</f>
        <v>6000</v>
      </c>
      <c r="V32" s="30" t="n">
        <f aca="false">V20*Assumptions!$E$38</f>
        <v>6000</v>
      </c>
      <c r="W32" s="30" t="n">
        <f aca="false">W20*Assumptions!$E$38</f>
        <v>6000</v>
      </c>
      <c r="X32" s="30" t="n">
        <f aca="false">X20*Assumptions!$E$38</f>
        <v>6000</v>
      </c>
      <c r="Y32" s="30" t="n">
        <f aca="false">Y20*Assumptions!$E$38</f>
        <v>6000</v>
      </c>
      <c r="Z32" s="30" t="n">
        <f aca="false">Z20*Assumptions!$E$38</f>
        <v>6000</v>
      </c>
      <c r="AA32" s="30" t="n">
        <f aca="false">AA20*Assumptions!$E$38</f>
        <v>6000</v>
      </c>
      <c r="AB32" s="30" t="n">
        <f aca="false">AB20*Assumptions!$E$38</f>
        <v>6000</v>
      </c>
      <c r="AC32" s="30" t="n">
        <f aca="false">AC20*Assumptions!$E$38</f>
        <v>6000</v>
      </c>
      <c r="AD32" s="30" t="n">
        <f aca="false">AD20*Assumptions!$E$38</f>
        <v>6000</v>
      </c>
      <c r="AE32" s="30" t="n">
        <f aca="false">AE20*Assumptions!$E$38</f>
        <v>6000</v>
      </c>
      <c r="AF32" s="30" t="n">
        <f aca="false">AF20*Assumptions!$E$38</f>
        <v>6000</v>
      </c>
      <c r="AG32" s="30" t="n">
        <f aca="false">AG20*Assumptions!$E$38</f>
        <v>6000</v>
      </c>
      <c r="AH32" s="30" t="n">
        <f aca="false">AH20*Assumptions!$E$38</f>
        <v>6000</v>
      </c>
      <c r="AI32" s="30" t="n">
        <f aca="false">AI20*Assumptions!$E$38</f>
        <v>6000</v>
      </c>
      <c r="AJ32" s="30" t="n">
        <f aca="false">AJ20*Assumptions!$E$38</f>
        <v>6000</v>
      </c>
      <c r="AK32" s="30" t="n">
        <f aca="false">AK20*Assumptions!$E$38</f>
        <v>6000</v>
      </c>
      <c r="AL32" s="30" t="n">
        <f aca="false">AL20*Assumptions!$E$38</f>
        <v>6000</v>
      </c>
    </row>
    <row r="33" customFormat="false" ht="15" hidden="false" customHeight="false" outlineLevel="0" collapsed="false">
      <c r="A33" s="3" t="s">
        <v>166</v>
      </c>
      <c r="C33" s="30" t="n">
        <f aca="false">Assumptions!$E$39+C17*Assumptions!$E$40</f>
        <v>2731.81818181818</v>
      </c>
      <c r="D33" s="30" t="n">
        <f aca="false">Assumptions!$E$39+D17*Assumptions!$E$40</f>
        <v>2578.54545454545</v>
      </c>
      <c r="E33" s="30" t="n">
        <f aca="false">Assumptions!$E$39+E17*Assumptions!$E$40</f>
        <v>3391.94090909091</v>
      </c>
      <c r="F33" s="30" t="n">
        <f aca="false">Assumptions!$E$39+F17*Assumptions!$E$40</f>
        <v>2832.2785</v>
      </c>
      <c r="G33" s="30" t="n">
        <f aca="false">Assumptions!$E$39+G17*Assumptions!$E$40</f>
        <v>2848.29015318182</v>
      </c>
      <c r="H33" s="30" t="n">
        <f aca="false">Assumptions!$E$39+H17*Assumptions!$E$40</f>
        <v>3619.05286066818</v>
      </c>
      <c r="I33" s="30" t="n">
        <f aca="false">Assumptions!$E$39+I17*Assumptions!$E$40</f>
        <v>3028.90409693896</v>
      </c>
      <c r="J33" s="30" t="n">
        <f aca="false">Assumptions!$E$39+J17*Assumptions!$E$40</f>
        <v>3023.62848213739</v>
      </c>
      <c r="K33" s="30" t="n">
        <f aca="false">Assumptions!$E$39+K17*Assumptions!$E$40</f>
        <v>3780.09788651131</v>
      </c>
      <c r="L33" s="30" t="n">
        <f aca="false">Assumptions!$E$39+L17*Assumptions!$E$40</f>
        <v>3181.00162219533</v>
      </c>
      <c r="M33" s="30" t="n">
        <f aca="false">Assumptions!$E$39+M17*Assumptions!$E$40</f>
        <v>3170.89420730614</v>
      </c>
      <c r="N33" s="30" t="n">
        <f aca="false">Assumptions!$E$39+N17*Assumptions!$E$40</f>
        <v>3925.73131648793</v>
      </c>
      <c r="O33" s="30" t="n">
        <f aca="false">Assumptions!$E$39+O17*Assumptions!$E$40</f>
        <v>3600.24915167112</v>
      </c>
      <c r="P33" s="30" t="n">
        <f aca="false">Assumptions!$E$39+P17*Assumptions!$E$40</f>
        <v>3642.13547700774</v>
      </c>
      <c r="Q33" s="30" t="n">
        <f aca="false">Assumptions!$E$39+Q17*Assumptions!$E$40</f>
        <v>4438.3398650782</v>
      </c>
      <c r="R33" s="30" t="n">
        <f aca="false">Assumptions!$E$39+R17*Assumptions!$E$40</f>
        <v>3873.67017884311</v>
      </c>
      <c r="S33" s="30" t="n">
        <f aca="false">Assumptions!$E$39+S17*Assumptions!$E$40</f>
        <v>3894.28555824159</v>
      </c>
      <c r="T33" s="30" t="n">
        <f aca="false">Assumptions!$E$39+T17*Assumptions!$E$40</f>
        <v>4677.36179550973</v>
      </c>
      <c r="U33" s="30" t="n">
        <f aca="false">Assumptions!$E$39+U17*Assumptions!$E$40</f>
        <v>4105.84055834328</v>
      </c>
      <c r="V33" s="30" t="n">
        <f aca="false">Assumptions!$E$39+V17*Assumptions!$E$40</f>
        <v>4124.49151044383</v>
      </c>
      <c r="W33" s="30" t="n">
        <f aca="false">Assumptions!$E$39+W17*Assumptions!$E$40</f>
        <v>4909.45911729315</v>
      </c>
      <c r="X33" s="30" t="n">
        <f aca="false">Assumptions!$E$39+X17*Assumptions!$E$40</f>
        <v>4342.92297877048</v>
      </c>
      <c r="Y33" s="30" t="n">
        <f aca="false">Assumptions!$E$39+Y17*Assumptions!$E$40</f>
        <v>4369.09332059924</v>
      </c>
      <c r="Z33" s="30" t="n">
        <f aca="false">Assumptions!$E$39+Z17*Assumptions!$E$40</f>
        <v>5163.70786943483</v>
      </c>
      <c r="AA33" s="30" t="n">
        <f aca="false">Assumptions!$E$39+AA17*Assumptions!$E$40</f>
        <v>5063.20023561882</v>
      </c>
      <c r="AB33" s="30" t="n">
        <f aca="false">Assumptions!$E$39+AB17*Assumptions!$E$40</f>
        <v>5184.30376117847</v>
      </c>
      <c r="AC33" s="30" t="n">
        <f aca="false">Assumptions!$E$39+AC17*Assumptions!$E$40</f>
        <v>6054.89107496152</v>
      </c>
      <c r="AD33" s="30" t="n">
        <f aca="false">Assumptions!$E$39+AD17*Assumptions!$E$40</f>
        <v>5561.87681008892</v>
      </c>
      <c r="AE33" s="30" t="n">
        <f aca="false">Assumptions!$E$39+AE17*Assumptions!$E$40</f>
        <v>5653.054076212</v>
      </c>
      <c r="AF33" s="30" t="n">
        <f aca="false">Assumptions!$E$39+AF17*Assumptions!$E$40</f>
        <v>6506.88126846847</v>
      </c>
      <c r="AG33" s="30" t="n">
        <f aca="false">Assumptions!$E$39+AG17*Assumptions!$E$40</f>
        <v>6007.32255988486</v>
      </c>
      <c r="AH33" s="30" t="n">
        <f aca="false">Assumptions!$E$39+AH17*Assumptions!$E$40</f>
        <v>6099.97867950461</v>
      </c>
      <c r="AI33" s="30" t="n">
        <f aca="false">Assumptions!$E$39+AI17*Assumptions!$E$40</f>
        <v>6961.68542934033</v>
      </c>
      <c r="AJ33" s="30" t="n">
        <f aca="false">Assumptions!$E$39+AJ17*Assumptions!$E$40</f>
        <v>6475.2130314453</v>
      </c>
      <c r="AK33" s="30" t="n">
        <f aca="false">Assumptions!$E$39+AK17*Assumptions!$E$40</f>
        <v>6585.29112513587</v>
      </c>
      <c r="AL33" s="30" t="n">
        <f aca="false">Assumptions!$E$39+AL17*Assumptions!$E$40</f>
        <v>7468.12803104238</v>
      </c>
    </row>
    <row r="34" customFormat="false" ht="15" hidden="false" customHeight="false" outlineLevel="0" collapsed="false">
      <c r="A34" s="3" t="s">
        <v>95</v>
      </c>
      <c r="C34" s="30" t="n">
        <f aca="false">C24*Assumptions!$E$41</f>
        <v>704.375</v>
      </c>
      <c r="D34" s="30" t="n">
        <f aca="false">D24*Assumptions!$E$41</f>
        <v>556.85</v>
      </c>
      <c r="E34" s="30" t="n">
        <f aca="false">E24*Assumptions!$E$41</f>
        <v>1339.743125</v>
      </c>
      <c r="F34" s="30" t="n">
        <f aca="false">F24*Assumptions!$E$41</f>
        <v>801.06805625</v>
      </c>
      <c r="G34" s="30" t="n">
        <f aca="false">G24*Assumptions!$E$41</f>
        <v>816.4792724375</v>
      </c>
      <c r="H34" s="30" t="n">
        <f aca="false">H24*Assumptions!$E$41</f>
        <v>1558.33837839313</v>
      </c>
      <c r="I34" s="30" t="n">
        <f aca="false">I24*Assumptions!$E$41</f>
        <v>990.320193303744</v>
      </c>
      <c r="J34" s="30" t="n">
        <f aca="false">J24*Assumptions!$E$41</f>
        <v>985.242414057242</v>
      </c>
      <c r="K34" s="30" t="n">
        <f aca="false">K24*Assumptions!$E$41</f>
        <v>1713.34421576713</v>
      </c>
      <c r="L34" s="30" t="n">
        <f aca="false">L24*Assumptions!$E$41</f>
        <v>1136.714061363</v>
      </c>
      <c r="M34" s="30" t="n">
        <f aca="false">M24*Assumptions!$E$41</f>
        <v>1126.98567453216</v>
      </c>
      <c r="N34" s="30" t="n">
        <f aca="false">N24*Assumptions!$E$41</f>
        <v>1853.51639211963</v>
      </c>
      <c r="O34" s="30" t="n">
        <f aca="false">O24*Assumptions!$E$41</f>
        <v>1540.23980848346</v>
      </c>
      <c r="P34" s="30" t="n">
        <f aca="false">P24*Assumptions!$E$41</f>
        <v>1580.55539661995</v>
      </c>
      <c r="Q34" s="30" t="n">
        <f aca="false">Q24*Assumptions!$E$41</f>
        <v>2346.90212013777</v>
      </c>
      <c r="R34" s="30" t="n">
        <f aca="false">R24*Assumptions!$E$41</f>
        <v>1803.4075471365</v>
      </c>
      <c r="S34" s="30" t="n">
        <f aca="false">S24*Assumptions!$E$41</f>
        <v>1823.24984980753</v>
      </c>
      <c r="T34" s="30" t="n">
        <f aca="false">T24*Assumptions!$E$41</f>
        <v>2576.96072817812</v>
      </c>
      <c r="U34" s="30" t="n">
        <f aca="false">U24*Assumptions!$E$41</f>
        <v>2026.87153740541</v>
      </c>
      <c r="V34" s="30" t="n">
        <f aca="false">V24*Assumptions!$E$41</f>
        <v>2044.82307880218</v>
      </c>
      <c r="W34" s="30" t="n">
        <f aca="false">W24*Assumptions!$E$41</f>
        <v>2800.35440039465</v>
      </c>
      <c r="X34" s="30" t="n">
        <f aca="false">X24*Assumptions!$E$41</f>
        <v>2255.06336706659</v>
      </c>
      <c r="Y34" s="30" t="n">
        <f aca="false">Y24*Assumptions!$E$41</f>
        <v>2280.25232107677</v>
      </c>
      <c r="Z34" s="30" t="n">
        <f aca="false">Z24*Assumptions!$E$41</f>
        <v>3045.06882433102</v>
      </c>
      <c r="AA34" s="30" t="n">
        <f aca="false">AA24*Assumptions!$E$41</f>
        <v>2948.33022678311</v>
      </c>
      <c r="AB34" s="30" t="n">
        <f aca="false">AB24*Assumptions!$E$41</f>
        <v>3064.89237013427</v>
      </c>
      <c r="AC34" s="30" t="n">
        <f aca="false">AC24*Assumptions!$E$41</f>
        <v>3902.83265965046</v>
      </c>
      <c r="AD34" s="30" t="n">
        <f aca="false">AD24*Assumptions!$E$41</f>
        <v>3428.30642971059</v>
      </c>
      <c r="AE34" s="30" t="n">
        <f aca="false">AE24*Assumptions!$E$41</f>
        <v>3516.06454835405</v>
      </c>
      <c r="AF34" s="30" t="n">
        <f aca="false">AF24*Assumptions!$E$41</f>
        <v>4337.87322090091</v>
      </c>
      <c r="AG34" s="30" t="n">
        <f aca="false">AG24*Assumptions!$E$41</f>
        <v>3857.04796388917</v>
      </c>
      <c r="AH34" s="30" t="n">
        <f aca="false">AH24*Assumptions!$E$41</f>
        <v>3946.22947902319</v>
      </c>
      <c r="AI34" s="30" t="n">
        <f aca="false">AI24*Assumptions!$E$41</f>
        <v>4775.62222574007</v>
      </c>
      <c r="AJ34" s="30" t="n">
        <f aca="false">AJ24*Assumptions!$E$41</f>
        <v>4307.3925427661</v>
      </c>
      <c r="AK34" s="30" t="n">
        <f aca="false">AK24*Assumptions!$E$41</f>
        <v>4413.34270794328</v>
      </c>
      <c r="AL34" s="30" t="n">
        <f aca="false">AL24*Assumptions!$E$41</f>
        <v>5263.07322987829</v>
      </c>
    </row>
    <row r="35" customFormat="false" ht="15" hidden="false" customHeight="false" outlineLevel="0" collapsed="false">
      <c r="A35" s="3" t="s">
        <v>167</v>
      </c>
      <c r="C35" s="30" t="n">
        <f aca="false">C17*Assumptions!$E$42</f>
        <v>585.454545454546</v>
      </c>
      <c r="D35" s="30" t="n">
        <f aca="false">D17*Assumptions!$E$42</f>
        <v>462.836363636364</v>
      </c>
      <c r="E35" s="30" t="n">
        <f aca="false">E17*Assumptions!$E$42</f>
        <v>1113.55272727273</v>
      </c>
      <c r="F35" s="30" t="n">
        <f aca="false">F17*Assumptions!$E$42</f>
        <v>665.8228</v>
      </c>
      <c r="G35" s="30" t="n">
        <f aca="false">G17*Assumptions!$E$42</f>
        <v>678.632122545455</v>
      </c>
      <c r="H35" s="30" t="n">
        <f aca="false">H17*Assumptions!$E$42</f>
        <v>1295.24228853455</v>
      </c>
      <c r="I35" s="30" t="n">
        <f aca="false">I17*Assumptions!$E$42</f>
        <v>823.123277551164</v>
      </c>
      <c r="J35" s="30" t="n">
        <f aca="false">J17*Assumptions!$E$42</f>
        <v>818.902785709916</v>
      </c>
      <c r="K35" s="30" t="n">
        <f aca="false">K17*Assumptions!$E$42</f>
        <v>1424.07830920904</v>
      </c>
      <c r="L35" s="30" t="n">
        <f aca="false">L17*Assumptions!$E$42</f>
        <v>944.801297756261</v>
      </c>
      <c r="M35" s="30" t="n">
        <f aca="false">M17*Assumptions!$E$42</f>
        <v>936.715365844914</v>
      </c>
      <c r="N35" s="30" t="n">
        <f aca="false">N17*Assumptions!$E$42</f>
        <v>1540.58505319034</v>
      </c>
      <c r="O35" s="30" t="n">
        <f aca="false">O17*Assumptions!$E$42</f>
        <v>1280.1993213369</v>
      </c>
      <c r="P35" s="30" t="n">
        <f aca="false">P17*Assumptions!$E$42</f>
        <v>1313.7083816062</v>
      </c>
      <c r="Q35" s="30" t="n">
        <f aca="false">Q17*Assumptions!$E$42</f>
        <v>1950.67189206256</v>
      </c>
      <c r="R35" s="30" t="n">
        <f aca="false">R17*Assumptions!$E$42</f>
        <v>1498.93614307449</v>
      </c>
      <c r="S35" s="30" t="n">
        <f aca="false">S17*Assumptions!$E$42</f>
        <v>1515.42844659327</v>
      </c>
      <c r="T35" s="30" t="n">
        <f aca="false">T17*Assumptions!$E$42</f>
        <v>2141.88943640779</v>
      </c>
      <c r="U35" s="30" t="n">
        <f aca="false">U17*Assumptions!$E$42</f>
        <v>1684.67244667462</v>
      </c>
      <c r="V35" s="30" t="n">
        <f aca="false">V17*Assumptions!$E$42</f>
        <v>1699.59320835506</v>
      </c>
      <c r="W35" s="30" t="n">
        <f aca="false">W17*Assumptions!$E$42</f>
        <v>2327.56729383452</v>
      </c>
      <c r="X35" s="30" t="n">
        <f aca="false">X17*Assumptions!$E$42</f>
        <v>1874.33838301638</v>
      </c>
      <c r="Y35" s="30" t="n">
        <f aca="false">Y17*Assumptions!$E$42</f>
        <v>1895.27465647939</v>
      </c>
      <c r="Z35" s="30" t="n">
        <f aca="false">Z17*Assumptions!$E$42</f>
        <v>2530.96629554786</v>
      </c>
      <c r="AA35" s="30" t="n">
        <f aca="false">AA17*Assumptions!$E$42</f>
        <v>2450.56018849506</v>
      </c>
      <c r="AB35" s="30" t="n">
        <f aca="false">AB17*Assumptions!$E$42</f>
        <v>2547.44300894277</v>
      </c>
      <c r="AC35" s="30" t="n">
        <f aca="false">AC17*Assumptions!$E$42</f>
        <v>3243.91285996922</v>
      </c>
      <c r="AD35" s="30" t="n">
        <f aca="false">AD17*Assumptions!$E$42</f>
        <v>2849.50144807114</v>
      </c>
      <c r="AE35" s="30" t="n">
        <f aca="false">AE17*Assumptions!$E$42</f>
        <v>2922.4432609696</v>
      </c>
      <c r="AF35" s="30" t="n">
        <f aca="false">AF17*Assumptions!$E$42</f>
        <v>3605.50501477478</v>
      </c>
      <c r="AG35" s="30" t="n">
        <f aca="false">AG17*Assumptions!$E$42</f>
        <v>3205.85804790788</v>
      </c>
      <c r="AH35" s="30" t="n">
        <f aca="false">AH17*Assumptions!$E$42</f>
        <v>3279.98294360369</v>
      </c>
      <c r="AI35" s="30" t="n">
        <f aca="false">AI17*Assumptions!$E$42</f>
        <v>3969.34834347227</v>
      </c>
      <c r="AJ35" s="30" t="n">
        <f aca="false">AJ17*Assumptions!$E$42</f>
        <v>3580.17042515624</v>
      </c>
      <c r="AK35" s="30" t="n">
        <f aca="false">AK17*Assumptions!$E$42</f>
        <v>3668.2329001087</v>
      </c>
      <c r="AL35" s="30" t="n">
        <f aca="false">AL17*Assumptions!$E$42</f>
        <v>4374.5024248339</v>
      </c>
    </row>
    <row r="36" customFormat="false" ht="15" hidden="false" customHeight="false" outlineLevel="0" collapsed="false">
      <c r="A36" s="3" t="s">
        <v>168</v>
      </c>
      <c r="C36" s="30" t="n">
        <f aca="false">Assumptions!$E$43+C17*Assumptions!$E$44</f>
        <v>367.090909090909</v>
      </c>
      <c r="D36" s="30" t="n">
        <f aca="false">Assumptions!$E$43+D17*Assumptions!$E$44</f>
        <v>342.567272727273</v>
      </c>
      <c r="E36" s="30" t="n">
        <f aca="false">Assumptions!$E$43+E17*Assumptions!$E$44</f>
        <v>472.710545454545</v>
      </c>
      <c r="F36" s="30" t="n">
        <f aca="false">Assumptions!$E$43+F17*Assumptions!$E$44</f>
        <v>383.16456</v>
      </c>
      <c r="G36" s="30" t="n">
        <f aca="false">Assumptions!$E$43+G17*Assumptions!$E$44</f>
        <v>385.726424509091</v>
      </c>
      <c r="H36" s="30" t="n">
        <f aca="false">Assumptions!$E$43+H17*Assumptions!$E$44</f>
        <v>509.048457706909</v>
      </c>
      <c r="I36" s="30" t="n">
        <f aca="false">Assumptions!$E$43+I17*Assumptions!$E$44</f>
        <v>414.624655510233</v>
      </c>
      <c r="J36" s="30" t="n">
        <f aca="false">Assumptions!$E$43+J17*Assumptions!$E$44</f>
        <v>413.780557141983</v>
      </c>
      <c r="K36" s="30" t="n">
        <f aca="false">Assumptions!$E$43+K17*Assumptions!$E$44</f>
        <v>534.815661841809</v>
      </c>
      <c r="L36" s="30" t="n">
        <f aca="false">Assumptions!$E$43+L17*Assumptions!$E$44</f>
        <v>438.960259551252</v>
      </c>
      <c r="M36" s="30" t="n">
        <f aca="false">Assumptions!$E$43+M17*Assumptions!$E$44</f>
        <v>437.343073168983</v>
      </c>
      <c r="N36" s="30" t="n">
        <f aca="false">Assumptions!$E$43+N17*Assumptions!$E$44</f>
        <v>558.117010638068</v>
      </c>
      <c r="O36" s="30" t="n">
        <f aca="false">Assumptions!$E$43+O17*Assumptions!$E$44</f>
        <v>506.03986426738</v>
      </c>
      <c r="P36" s="30" t="n">
        <f aca="false">Assumptions!$E$43+P17*Assumptions!$E$44</f>
        <v>512.741676321239</v>
      </c>
      <c r="Q36" s="30" t="n">
        <f aca="false">Assumptions!$E$43+Q17*Assumptions!$E$44</f>
        <v>640.134378412512</v>
      </c>
      <c r="R36" s="30" t="n">
        <f aca="false">Assumptions!$E$43+R17*Assumptions!$E$44</f>
        <v>549.787228614898</v>
      </c>
      <c r="S36" s="30" t="n">
        <f aca="false">Assumptions!$E$43+S17*Assumptions!$E$44</f>
        <v>553.085689318655</v>
      </c>
      <c r="T36" s="30" t="n">
        <f aca="false">Assumptions!$E$43+T17*Assumptions!$E$44</f>
        <v>678.377887281557</v>
      </c>
      <c r="U36" s="30" t="n">
        <f aca="false">Assumptions!$E$43+U17*Assumptions!$E$44</f>
        <v>586.934489334925</v>
      </c>
      <c r="V36" s="30" t="n">
        <f aca="false">Assumptions!$E$43+V17*Assumptions!$E$44</f>
        <v>589.918641671012</v>
      </c>
      <c r="W36" s="30" t="n">
        <f aca="false">Assumptions!$E$43+W17*Assumptions!$E$44</f>
        <v>715.513458766903</v>
      </c>
      <c r="X36" s="30" t="n">
        <f aca="false">Assumptions!$E$43+X17*Assumptions!$E$44</f>
        <v>624.867676603277</v>
      </c>
      <c r="Y36" s="30" t="n">
        <f aca="false">Assumptions!$E$43+Y17*Assumptions!$E$44</f>
        <v>629.054931295879</v>
      </c>
      <c r="Z36" s="30" t="n">
        <f aca="false">Assumptions!$E$43+Z17*Assumptions!$E$44</f>
        <v>756.193259109572</v>
      </c>
      <c r="AA36" s="30" t="n">
        <f aca="false">Assumptions!$E$43+AA17*Assumptions!$E$44</f>
        <v>740.112037699011</v>
      </c>
      <c r="AB36" s="30" t="n">
        <f aca="false">Assumptions!$E$43+AB17*Assumptions!$E$44</f>
        <v>759.488601788555</v>
      </c>
      <c r="AC36" s="30" t="n">
        <f aca="false">Assumptions!$E$43+AC17*Assumptions!$E$44</f>
        <v>898.782571993843</v>
      </c>
      <c r="AD36" s="30" t="n">
        <f aca="false">Assumptions!$E$43+AD17*Assumptions!$E$44</f>
        <v>819.900289614228</v>
      </c>
      <c r="AE36" s="30" t="n">
        <f aca="false">Assumptions!$E$43+AE17*Assumptions!$E$44</f>
        <v>834.488652193919</v>
      </c>
      <c r="AF36" s="30" t="n">
        <f aca="false">Assumptions!$E$43+AF17*Assumptions!$E$44</f>
        <v>971.101002954956</v>
      </c>
      <c r="AG36" s="30" t="n">
        <f aca="false">Assumptions!$E$43+AG17*Assumptions!$E$44</f>
        <v>891.171609581577</v>
      </c>
      <c r="AH36" s="30" t="n">
        <f aca="false">Assumptions!$E$43+AH17*Assumptions!$E$44</f>
        <v>905.996588720737</v>
      </c>
      <c r="AI36" s="30" t="n">
        <f aca="false">Assumptions!$E$43+AI17*Assumptions!$E$44</f>
        <v>1043.86966869445</v>
      </c>
      <c r="AJ36" s="30" t="n">
        <f aca="false">Assumptions!$E$43+AJ17*Assumptions!$E$44</f>
        <v>966.034085031247</v>
      </c>
      <c r="AK36" s="30" t="n">
        <f aca="false">Assumptions!$E$43+AK17*Assumptions!$E$44</f>
        <v>983.64658002174</v>
      </c>
      <c r="AL36" s="30" t="n">
        <f aca="false">Assumptions!$E$43+AL17*Assumptions!$E$44</f>
        <v>1124.90048496678</v>
      </c>
    </row>
    <row r="37" customFormat="false" ht="15" hidden="false" customHeight="false" outlineLevel="0" collapsed="false">
      <c r="A37" s="1" t="s">
        <v>169</v>
      </c>
      <c r="C37" s="32" t="n">
        <f aca="false">SUM(C28:C36)</f>
        <v>5196.54772727273</v>
      </c>
      <c r="D37" s="32" t="n">
        <f aca="false">SUM(D28:D36)</f>
        <v>4574.18381818182</v>
      </c>
      <c r="E37" s="32" t="n">
        <f aca="false">SUM(E28:E36)</f>
        <v>10376.9760613636</v>
      </c>
      <c r="F37" s="32" t="n">
        <f aca="false">SUM(F28:F36)</f>
        <v>8104.46684925</v>
      </c>
      <c r="G37" s="32" t="n">
        <f aca="false">SUM(G28:G36)</f>
        <v>8169.48216699477</v>
      </c>
      <c r="H37" s="32" t="n">
        <f aca="false">SUM(H28:H36)</f>
        <v>13799.1641407432</v>
      </c>
      <c r="I37" s="32" t="n">
        <f aca="false">SUM(I28:I36)</f>
        <v>11402.8650856206</v>
      </c>
      <c r="J37" s="32" t="n">
        <f aca="false">SUM(J28:J36)</f>
        <v>11381.4434517189</v>
      </c>
      <c r="K37" s="32" t="n">
        <f aca="false">SUM(K28:K36)</f>
        <v>16953.0874681792</v>
      </c>
      <c r="L37" s="32" t="n">
        <f aca="false">SUM(L28:L36)</f>
        <v>14520.4570869241</v>
      </c>
      <c r="M37" s="32" t="n">
        <f aca="false">SUM(M28:M36)</f>
        <v>14479.4159287666</v>
      </c>
      <c r="N37" s="32" t="n">
        <f aca="false">SUM(N28:N36)</f>
        <v>20044.4320105992</v>
      </c>
      <c r="O37" s="32" t="n">
        <f aca="false">SUM(O28:O36)</f>
        <v>18722.8116803606</v>
      </c>
      <c r="P37" s="32" t="n">
        <f aca="false">SUM(P28:P36)</f>
        <v>18892.8911043899</v>
      </c>
      <c r="Q37" s="32" t="n">
        <f aca="false">SUM(Q28:Q36)</f>
        <v>22125.87902215</v>
      </c>
      <c r="R37" s="32" t="n">
        <f aca="false">SUM(R28:R36)</f>
        <v>19833.0377611925</v>
      </c>
      <c r="S37" s="32" t="n">
        <f aca="false">SUM(S28:S36)</f>
        <v>19916.74650924</v>
      </c>
      <c r="T37" s="32" t="n">
        <f aca="false">SUM(T28:T36)</f>
        <v>23096.4275706673</v>
      </c>
      <c r="U37" s="32" t="n">
        <f aca="false">SUM(U28:U36)</f>
        <v>20775.7655871529</v>
      </c>
      <c r="V37" s="32" t="n">
        <f aca="false">SUM(V28:V36)</f>
        <v>20851.4977781572</v>
      </c>
      <c r="W37" s="32" t="n">
        <f aca="false">SUM(W28:W36)</f>
        <v>24038.8587457688</v>
      </c>
      <c r="X37" s="32" t="n">
        <f aca="false">SUM(X28:X36)</f>
        <v>21738.4387552975</v>
      </c>
      <c r="Y37" s="32" t="n">
        <f aca="false">SUM(Y28:Y36)</f>
        <v>21844.7034282932</v>
      </c>
      <c r="Z37" s="32" t="n">
        <f aca="false">SUM(Z28:Z36)</f>
        <v>25071.2358038401</v>
      </c>
      <c r="AA37" s="32" t="n">
        <f aca="false">SUM(AA28:AA36)</f>
        <v>24663.1245567302</v>
      </c>
      <c r="AB37" s="32" t="n">
        <f aca="false">SUM(AB28:AB36)</f>
        <v>25154.8654222652</v>
      </c>
      <c r="AC37" s="32" t="n">
        <f aca="false">SUM(AC28:AC36)</f>
        <v>28689.8852098813</v>
      </c>
      <c r="AD37" s="32" t="n">
        <f aca="false">SUM(AD28:AD36)</f>
        <v>26688.0007873661</v>
      </c>
      <c r="AE37" s="32" t="n">
        <f aca="false">SUM(AE28:AE36)</f>
        <v>27058.2260764588</v>
      </c>
      <c r="AF37" s="32" t="n">
        <f aca="false">SUM(AF28:AF36)</f>
        <v>30525.1913906162</v>
      </c>
      <c r="AG37" s="32" t="n">
        <f aca="false">SUM(AG28:AG36)</f>
        <v>28496.7332544125</v>
      </c>
      <c r="AH37" s="32" t="n">
        <f aca="false">SUM(AH28:AH36)</f>
        <v>28872.9634281285</v>
      </c>
      <c r="AI37" s="32" t="n">
        <f aca="false">SUM(AI28:AI36)</f>
        <v>32371.9236858364</v>
      </c>
      <c r="AJ37" s="32" t="n">
        <f aca="false">SUM(AJ28:AJ36)</f>
        <v>30396.6025141836</v>
      </c>
      <c r="AK37" s="32" t="n">
        <f aca="false">SUM(AK28:AK36)</f>
        <v>30843.5746136142</v>
      </c>
      <c r="AL37" s="32" t="n">
        <f aca="false">SUM(AL28:AL36)</f>
        <v>34428.3338700476</v>
      </c>
    </row>
    <row r="38" customFormat="false" ht="15" hidden="false" customHeight="false" outlineLevel="0" collapsed="false">
      <c r="A38" s="1" t="s">
        <v>129</v>
      </c>
      <c r="C38" s="32" t="n">
        <f aca="false">C26-C37</f>
        <v>-110.411363636364</v>
      </c>
      <c r="D38" s="32" t="n">
        <f aca="false">D26-D37</f>
        <v>-553.29290909091</v>
      </c>
      <c r="E38" s="32" t="n">
        <f aca="false">E26-E37</f>
        <v>-702.986743181818</v>
      </c>
      <c r="F38" s="32" t="n">
        <f aca="false">F26-F37</f>
        <v>-2320.13127425</v>
      </c>
      <c r="G38" s="32" t="n">
        <f aca="false">G26-G37</f>
        <v>-2273.86560238114</v>
      </c>
      <c r="H38" s="32" t="n">
        <f aca="false">H26-H37</f>
        <v>-2546.74675909929</v>
      </c>
      <c r="I38" s="32" t="n">
        <f aca="false">I26-I37</f>
        <v>748.018388105109</v>
      </c>
      <c r="J38" s="32" t="n">
        <f aca="false">J26-J37</f>
        <v>982.774499136001</v>
      </c>
      <c r="K38" s="32" t="n">
        <f aca="false">K26-K37</f>
        <v>931.092843074421</v>
      </c>
      <c r="L38" s="32" t="n">
        <f aca="false">L26-L37</f>
        <v>-524.370812666604</v>
      </c>
      <c r="M38" s="32" t="n">
        <f aca="false">M26-M37</f>
        <v>-264.1699379889</v>
      </c>
      <c r="N38" s="32" t="n">
        <f aca="false">N26-N37</f>
        <v>-279.191548508141</v>
      </c>
      <c r="O38" s="32" t="n">
        <f aca="false">O26-O37</f>
        <v>-900.601873121283</v>
      </c>
      <c r="P38" s="32" t="n">
        <f aca="false">P26-P37</f>
        <v>-444.547425904872</v>
      </c>
      <c r="Q38" s="32" t="n">
        <f aca="false">Q26-Q37</f>
        <v>2207.86025908877</v>
      </c>
      <c r="R38" s="32" t="n">
        <f aca="false">R26-R37</f>
        <v>945.611061659751</v>
      </c>
      <c r="S38" s="32" t="n">
        <f aca="false">S26-S37</f>
        <v>1393.01125442629</v>
      </c>
      <c r="T38" s="32" t="n">
        <f aca="false">T26-T37</f>
        <v>4062.93369870695</v>
      </c>
      <c r="U38" s="32" t="n">
        <f aca="false">U26-U37</f>
        <v>2839.10792344356</v>
      </c>
      <c r="V38" s="32" t="n">
        <f aca="false">V26-V37</f>
        <v>3341.96393104363</v>
      </c>
      <c r="W38" s="32" t="n">
        <f aca="false">W26-W37</f>
        <v>6081.54011661554</v>
      </c>
      <c r="X38" s="32" t="n">
        <f aca="false">X26-X37</f>
        <v>4939.51684421414</v>
      </c>
      <c r="Y38" s="32" t="n">
        <f aca="false">Y26-Y37</f>
        <v>5534.8680917812</v>
      </c>
      <c r="Z38" s="32" t="n">
        <f aca="false">Z26-Z37</f>
        <v>8376.6254777371</v>
      </c>
      <c r="AA38" s="32" t="n">
        <f aca="false">AA26-AA37</f>
        <v>8659.21324927601</v>
      </c>
      <c r="AB38" s="32" t="n">
        <f aca="false">AB26-AB37</f>
        <v>9610.79669480338</v>
      </c>
      <c r="AC38" s="32" t="n">
        <f aca="false">AC26-AC37</f>
        <v>12758.0962868234</v>
      </c>
      <c r="AD38" s="32" t="n">
        <f aca="false">AD26-AD37</f>
        <v>11996.8559947602</v>
      </c>
      <c r="AE38" s="32" t="n">
        <f aca="false">AE26-AE37</f>
        <v>12956.8033528232</v>
      </c>
      <c r="AF38" s="32" t="n">
        <f aca="false">AF26-AF37</f>
        <v>16155.2522048287</v>
      </c>
      <c r="AG38" s="32" t="n">
        <f aca="false">AG26-AG37</f>
        <v>15479.6582553558</v>
      </c>
      <c r="AH38" s="32" t="n">
        <f aca="false">AH26-AH37</f>
        <v>16553.6630989255</v>
      </c>
      <c r="AI38" s="32" t="n">
        <f aca="false">AI26-AI37</f>
        <v>19890.1534878007</v>
      </c>
      <c r="AJ38" s="32" t="n">
        <f aca="false">AJ26-AJ37</f>
        <v>19373.4096660691</v>
      </c>
      <c r="AK38" s="32" t="n">
        <f aca="false">AK26-AK37</f>
        <v>20624.8443983734</v>
      </c>
      <c r="AL38" s="32" t="n">
        <f aca="false">AL26-AL37</f>
        <v>24155.8339226049</v>
      </c>
    </row>
    <row r="39" customFormat="false" ht="15" hidden="false" customHeight="false" outlineLevel="0" collapsed="false">
      <c r="A39" s="3" t="s">
        <v>130</v>
      </c>
      <c r="C39" s="25" t="n">
        <f aca="false">IFERROR(C38/C26,0)</f>
        <v>-0.021708297957907</v>
      </c>
      <c r="D39" s="25" t="n">
        <f aca="false">IFERROR(D38/D26,0)</f>
        <v>-0.137604556204188</v>
      </c>
      <c r="E39" s="25" t="n">
        <f aca="false">IFERROR(E38/E26,0)</f>
        <v>-0.0726677195994611</v>
      </c>
      <c r="F39" s="25" t="n">
        <f aca="false">IFERROR(F38/F26,0)</f>
        <v>-0.401105925506405</v>
      </c>
      <c r="G39" s="25" t="n">
        <f aca="false">IFERROR(G38/G26,0)</f>
        <v>-0.385687498069195</v>
      </c>
      <c r="H39" s="25" t="n">
        <f aca="false">IFERROR(H38/H26,0)</f>
        <v>-0.226328856522316</v>
      </c>
      <c r="I39" s="25" t="n">
        <f aca="false">IFERROR(I38/I26,0)</f>
        <v>0.061560823105791</v>
      </c>
      <c r="J39" s="25" t="n">
        <f aca="false">IFERROR(J38/J26,0)</f>
        <v>0.0794853748973302</v>
      </c>
      <c r="K39" s="25" t="n">
        <f aca="false">IFERROR(K38/K26,0)</f>
        <v>0.0520623717089529</v>
      </c>
      <c r="L39" s="25" t="n">
        <f aca="false">IFERROR(L38/L26,0)</f>
        <v>-0.0374655316058647</v>
      </c>
      <c r="M39" s="25" t="n">
        <f aca="false">IFERROR(M38/M26,0)</f>
        <v>-0.018583564305555</v>
      </c>
      <c r="N39" s="25" t="n">
        <f aca="false">IFERROR(N38/N26,0)</f>
        <v>-0.014125380819101</v>
      </c>
      <c r="O39" s="25" t="n">
        <f aca="false">IFERROR(O38/O26,0)</f>
        <v>-0.0505325592539855</v>
      </c>
      <c r="P39" s="25" t="n">
        <f aca="false">IFERROR(P38/P26,0)</f>
        <v>-0.0240968746925131</v>
      </c>
      <c r="Q39" s="25" t="n">
        <f aca="false">IFERROR(Q38/Q26,0)</f>
        <v>0.0907324695794295</v>
      </c>
      <c r="R39" s="25" t="n">
        <f aca="false">IFERROR(R38/R26,0)</f>
        <v>0.0455087849898967</v>
      </c>
      <c r="S39" s="25" t="n">
        <f aca="false">IFERROR(S38/S26,0)</f>
        <v>0.0653696428591701</v>
      </c>
      <c r="T39" s="25" t="n">
        <f aca="false">IFERROR(T38/T26,0)</f>
        <v>0.149596069598605</v>
      </c>
      <c r="U39" s="25" t="n">
        <f aca="false">IFERROR(U38/U26,0)</f>
        <v>0.120225413113883</v>
      </c>
      <c r="V39" s="25" t="n">
        <f aca="false">IFERROR(V38/V26,0)</f>
        <v>0.138135004044199</v>
      </c>
      <c r="W39" s="25" t="n">
        <f aca="false">IFERROR(W38/W26,0)</f>
        <v>0.201907688686368</v>
      </c>
      <c r="X39" s="25" t="n">
        <f aca="false">IFERROR(X38/X26,0)</f>
        <v>0.185153499704624</v>
      </c>
      <c r="Y39" s="25" t="n">
        <f aca="false">IFERROR(Y38/Y26,0)</f>
        <v>0.202153203446704</v>
      </c>
      <c r="Z39" s="25" t="n">
        <f aca="false">IFERROR(Z38/Z26,0)</f>
        <v>0.250438298796428</v>
      </c>
      <c r="AA39" s="25" t="n">
        <f aca="false">IFERROR(AA38/AA26,0)</f>
        <v>0.259862117108579</v>
      </c>
      <c r="AB39" s="25" t="n">
        <f aca="false">IFERROR(AB38/AB26,0)</f>
        <v>0.276445092932226</v>
      </c>
      <c r="AC39" s="25" t="n">
        <f aca="false">IFERROR(AC38/AC26,0)</f>
        <v>0.307809833582312</v>
      </c>
      <c r="AD39" s="25" t="n">
        <f aca="false">IFERROR(AD38/AD26,0)</f>
        <v>0.310117627223662</v>
      </c>
      <c r="AE39" s="25" t="n">
        <f aca="false">IFERROR(AE38/AE26,0)</f>
        <v>0.32379842118376</v>
      </c>
      <c r="AF39" s="25" t="n">
        <f aca="false">IFERROR(AF38/AF26,0)</f>
        <v>0.346081805580895</v>
      </c>
      <c r="AG39" s="25" t="n">
        <f aca="false">IFERROR(AG38/AG26,0)</f>
        <v>0.351999282431288</v>
      </c>
      <c r="AH39" s="25" t="n">
        <f aca="false">IFERROR(AH38/AH26,0)</f>
        <v>0.364404411343795</v>
      </c>
      <c r="AI39" s="25" t="n">
        <f aca="false">IFERROR(AI38/AI26,0)</f>
        <v>0.380584824857172</v>
      </c>
      <c r="AJ39" s="25" t="n">
        <f aca="false">IFERROR(AJ38/AJ26,0)</f>
        <v>0.389258688462927</v>
      </c>
      <c r="AK39" s="25" t="n">
        <f aca="false">IFERROR(AK38/AK26,0)</f>
        <v>0.40072815124882</v>
      </c>
      <c r="AL39" s="25" t="n">
        <f aca="false">IFERROR(AL38/AL26,0)</f>
        <v>0.412326996059752</v>
      </c>
    </row>
    <row r="40" customFormat="false" ht="15" hidden="false" customHeight="false" outlineLevel="0" collapsed="false">
      <c r="A40" s="9" t="s">
        <v>170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</row>
    <row r="41" customFormat="false" ht="15" hidden="false" customHeight="false" outlineLevel="0" collapsed="false">
      <c r="A41" s="3" t="s">
        <v>131</v>
      </c>
      <c r="C41" s="30" t="n">
        <f aca="false">C9</f>
        <v>10000</v>
      </c>
      <c r="D41" s="30" t="n">
        <f aca="false">D9</f>
        <v>10000</v>
      </c>
      <c r="E41" s="30" t="n">
        <f aca="false">E9</f>
        <v>10000</v>
      </c>
      <c r="F41" s="30" t="n">
        <f aca="false">F9</f>
        <v>10000</v>
      </c>
      <c r="G41" s="30" t="n">
        <f aca="false">G9</f>
        <v>10000</v>
      </c>
      <c r="H41" s="30" t="n">
        <f aca="false">H9</f>
        <v>10000</v>
      </c>
      <c r="I41" s="30" t="n">
        <f aca="false">I9</f>
        <v>10000</v>
      </c>
      <c r="J41" s="30" t="n">
        <f aca="false">J9</f>
        <v>10000</v>
      </c>
      <c r="K41" s="30" t="n">
        <f aca="false">K9</f>
        <v>10000</v>
      </c>
      <c r="L41" s="30" t="n">
        <f aca="false">L9</f>
        <v>10000</v>
      </c>
      <c r="M41" s="30" t="n">
        <f aca="false">M9</f>
        <v>10000</v>
      </c>
      <c r="N41" s="30" t="n">
        <f aca="false">N9</f>
        <v>10000</v>
      </c>
      <c r="O41" s="30" t="n">
        <f aca="false">O9</f>
        <v>25000</v>
      </c>
      <c r="P41" s="30" t="n">
        <f aca="false">P9</f>
        <v>25000</v>
      </c>
      <c r="Q41" s="30" t="n">
        <f aca="false">Q9</f>
        <v>25000</v>
      </c>
      <c r="R41" s="30" t="n">
        <f aca="false">R9</f>
        <v>25000</v>
      </c>
      <c r="S41" s="30" t="n">
        <f aca="false">S9</f>
        <v>25000</v>
      </c>
      <c r="T41" s="30" t="n">
        <f aca="false">T9</f>
        <v>25000</v>
      </c>
      <c r="U41" s="30" t="n">
        <f aca="false">U9</f>
        <v>25000</v>
      </c>
      <c r="V41" s="30" t="n">
        <f aca="false">V9</f>
        <v>25000</v>
      </c>
      <c r="W41" s="30" t="n">
        <f aca="false">W9</f>
        <v>25000</v>
      </c>
      <c r="X41" s="30" t="n">
        <f aca="false">X9</f>
        <v>25000</v>
      </c>
      <c r="Y41" s="30" t="n">
        <f aca="false">Y9</f>
        <v>25000</v>
      </c>
      <c r="Z41" s="30" t="n">
        <f aca="false">Z9</f>
        <v>25000</v>
      </c>
      <c r="AA41" s="30" t="n">
        <f aca="false">AA9</f>
        <v>50000</v>
      </c>
      <c r="AB41" s="30" t="n">
        <f aca="false">AB9</f>
        <v>50000</v>
      </c>
      <c r="AC41" s="30" t="n">
        <f aca="false">AC9</f>
        <v>50000</v>
      </c>
      <c r="AD41" s="30" t="n">
        <f aca="false">AD9</f>
        <v>50000</v>
      </c>
      <c r="AE41" s="30" t="n">
        <f aca="false">AE9</f>
        <v>50000</v>
      </c>
      <c r="AF41" s="30" t="n">
        <f aca="false">AF9</f>
        <v>50000</v>
      </c>
      <c r="AG41" s="30" t="n">
        <f aca="false">AG9</f>
        <v>50000</v>
      </c>
      <c r="AH41" s="30" t="n">
        <f aca="false">AH9</f>
        <v>50000</v>
      </c>
      <c r="AI41" s="30" t="n">
        <f aca="false">AI9</f>
        <v>50000</v>
      </c>
      <c r="AJ41" s="30" t="n">
        <f aca="false">AJ9</f>
        <v>50000</v>
      </c>
      <c r="AK41" s="30" t="n">
        <f aca="false">AK9</f>
        <v>50000</v>
      </c>
      <c r="AL41" s="30" t="n">
        <f aca="false">AL9</f>
        <v>50000</v>
      </c>
    </row>
    <row r="42" customFormat="false" ht="15" hidden="false" customHeight="false" outlineLevel="0" collapsed="false">
      <c r="A42" s="3" t="s">
        <v>132</v>
      </c>
      <c r="C42" s="30" t="n">
        <f aca="false">CHOOSE(MIN(C$5,3),Assumptions!$E$46,Assumptions!$E$47,Assumptions!$E$48)</f>
        <v>25000</v>
      </c>
      <c r="D42" s="30" t="n">
        <f aca="false">CHOOSE(MIN(D$5,3),Assumptions!$E$46,Assumptions!$E$47,Assumptions!$E$48)</f>
        <v>25000</v>
      </c>
      <c r="E42" s="30" t="n">
        <f aca="false">CHOOSE(MIN(E$5,3),Assumptions!$E$46,Assumptions!$E$47,Assumptions!$E$48)</f>
        <v>25000</v>
      </c>
      <c r="F42" s="30" t="n">
        <f aca="false">CHOOSE(MIN(F$5,3),Assumptions!$E$46,Assumptions!$E$47,Assumptions!$E$48)</f>
        <v>25000</v>
      </c>
      <c r="G42" s="30" t="n">
        <f aca="false">CHOOSE(MIN(G$5,3),Assumptions!$E$46,Assumptions!$E$47,Assumptions!$E$48)</f>
        <v>25000</v>
      </c>
      <c r="H42" s="30" t="n">
        <f aca="false">CHOOSE(MIN(H$5,3),Assumptions!$E$46,Assumptions!$E$47,Assumptions!$E$48)</f>
        <v>25000</v>
      </c>
      <c r="I42" s="30" t="n">
        <f aca="false">CHOOSE(MIN(I$5,3),Assumptions!$E$46,Assumptions!$E$47,Assumptions!$E$48)</f>
        <v>25000</v>
      </c>
      <c r="J42" s="30" t="n">
        <f aca="false">CHOOSE(MIN(J$5,3),Assumptions!$E$46,Assumptions!$E$47,Assumptions!$E$48)</f>
        <v>25000</v>
      </c>
      <c r="K42" s="30" t="n">
        <f aca="false">CHOOSE(MIN(K$5,3),Assumptions!$E$46,Assumptions!$E$47,Assumptions!$E$48)</f>
        <v>25000</v>
      </c>
      <c r="L42" s="30" t="n">
        <f aca="false">CHOOSE(MIN(L$5,3),Assumptions!$E$46,Assumptions!$E$47,Assumptions!$E$48)</f>
        <v>25000</v>
      </c>
      <c r="M42" s="30" t="n">
        <f aca="false">CHOOSE(MIN(M$5,3),Assumptions!$E$46,Assumptions!$E$47,Assumptions!$E$48)</f>
        <v>25000</v>
      </c>
      <c r="N42" s="30" t="n">
        <f aca="false">CHOOSE(MIN(N$5,3),Assumptions!$E$46,Assumptions!$E$47,Assumptions!$E$48)</f>
        <v>25000</v>
      </c>
      <c r="O42" s="30" t="n">
        <f aca="false">CHOOSE(MIN(O$5,3),Assumptions!$E$46,Assumptions!$E$47,Assumptions!$E$48)</f>
        <v>45000</v>
      </c>
      <c r="P42" s="30" t="n">
        <f aca="false">CHOOSE(MIN(P$5,3),Assumptions!$E$46,Assumptions!$E$47,Assumptions!$E$48)</f>
        <v>45000</v>
      </c>
      <c r="Q42" s="30" t="n">
        <f aca="false">CHOOSE(MIN(Q$5,3),Assumptions!$E$46,Assumptions!$E$47,Assumptions!$E$48)</f>
        <v>45000</v>
      </c>
      <c r="R42" s="30" t="n">
        <f aca="false">CHOOSE(MIN(R$5,3),Assumptions!$E$46,Assumptions!$E$47,Assumptions!$E$48)</f>
        <v>45000</v>
      </c>
      <c r="S42" s="30" t="n">
        <f aca="false">CHOOSE(MIN(S$5,3),Assumptions!$E$46,Assumptions!$E$47,Assumptions!$E$48)</f>
        <v>45000</v>
      </c>
      <c r="T42" s="30" t="n">
        <f aca="false">CHOOSE(MIN(T$5,3),Assumptions!$E$46,Assumptions!$E$47,Assumptions!$E$48)</f>
        <v>45000</v>
      </c>
      <c r="U42" s="30" t="n">
        <f aca="false">CHOOSE(MIN(U$5,3),Assumptions!$E$46,Assumptions!$E$47,Assumptions!$E$48)</f>
        <v>45000</v>
      </c>
      <c r="V42" s="30" t="n">
        <f aca="false">CHOOSE(MIN(V$5,3),Assumptions!$E$46,Assumptions!$E$47,Assumptions!$E$48)</f>
        <v>45000</v>
      </c>
      <c r="W42" s="30" t="n">
        <f aca="false">CHOOSE(MIN(W$5,3),Assumptions!$E$46,Assumptions!$E$47,Assumptions!$E$48)</f>
        <v>45000</v>
      </c>
      <c r="X42" s="30" t="n">
        <f aca="false">CHOOSE(MIN(X$5,3),Assumptions!$E$46,Assumptions!$E$47,Assumptions!$E$48)</f>
        <v>45000</v>
      </c>
      <c r="Y42" s="30" t="n">
        <f aca="false">CHOOSE(MIN(Y$5,3),Assumptions!$E$46,Assumptions!$E$47,Assumptions!$E$48)</f>
        <v>45000</v>
      </c>
      <c r="Z42" s="30" t="n">
        <f aca="false">CHOOSE(MIN(Z$5,3),Assumptions!$E$46,Assumptions!$E$47,Assumptions!$E$48)</f>
        <v>45000</v>
      </c>
      <c r="AA42" s="30" t="n">
        <f aca="false">CHOOSE(MIN(AA$5,3),Assumptions!$E$46,Assumptions!$E$47,Assumptions!$E$48)</f>
        <v>70000</v>
      </c>
      <c r="AB42" s="30" t="n">
        <f aca="false">CHOOSE(MIN(AB$5,3),Assumptions!$E$46,Assumptions!$E$47,Assumptions!$E$48)</f>
        <v>70000</v>
      </c>
      <c r="AC42" s="30" t="n">
        <f aca="false">CHOOSE(MIN(AC$5,3),Assumptions!$E$46,Assumptions!$E$47,Assumptions!$E$48)</f>
        <v>70000</v>
      </c>
      <c r="AD42" s="30" t="n">
        <f aca="false">CHOOSE(MIN(AD$5,3),Assumptions!$E$46,Assumptions!$E$47,Assumptions!$E$48)</f>
        <v>70000</v>
      </c>
      <c r="AE42" s="30" t="n">
        <f aca="false">CHOOSE(MIN(AE$5,3),Assumptions!$E$46,Assumptions!$E$47,Assumptions!$E$48)</f>
        <v>70000</v>
      </c>
      <c r="AF42" s="30" t="n">
        <f aca="false">CHOOSE(MIN(AF$5,3),Assumptions!$E$46,Assumptions!$E$47,Assumptions!$E$48)</f>
        <v>70000</v>
      </c>
      <c r="AG42" s="30" t="n">
        <f aca="false">CHOOSE(MIN(AG$5,3),Assumptions!$E$46,Assumptions!$E$47,Assumptions!$E$48)</f>
        <v>70000</v>
      </c>
      <c r="AH42" s="30" t="n">
        <f aca="false">CHOOSE(MIN(AH$5,3),Assumptions!$E$46,Assumptions!$E$47,Assumptions!$E$48)</f>
        <v>70000</v>
      </c>
      <c r="AI42" s="30" t="n">
        <f aca="false">CHOOSE(MIN(AI$5,3),Assumptions!$E$46,Assumptions!$E$47,Assumptions!$E$48)</f>
        <v>70000</v>
      </c>
      <c r="AJ42" s="30" t="n">
        <f aca="false">CHOOSE(MIN(AJ$5,3),Assumptions!$E$46,Assumptions!$E$47,Assumptions!$E$48)</f>
        <v>70000</v>
      </c>
      <c r="AK42" s="30" t="n">
        <f aca="false">CHOOSE(MIN(AK$5,3),Assumptions!$E$46,Assumptions!$E$47,Assumptions!$E$48)</f>
        <v>70000</v>
      </c>
      <c r="AL42" s="30" t="n">
        <f aca="false">CHOOSE(MIN(AL$5,3),Assumptions!$E$46,Assumptions!$E$47,Assumptions!$E$48)</f>
        <v>70000</v>
      </c>
    </row>
    <row r="43" customFormat="false" ht="15" hidden="false" customHeight="false" outlineLevel="0" collapsed="false">
      <c r="A43" s="3" t="s">
        <v>171</v>
      </c>
      <c r="C43" s="30" t="n">
        <f aca="false">C17*Assumptions!$E$45</f>
        <v>292.727272727273</v>
      </c>
      <c r="D43" s="30" t="n">
        <f aca="false">D17*Assumptions!$E$45</f>
        <v>231.418181818182</v>
      </c>
      <c r="E43" s="30" t="n">
        <f aca="false">E17*Assumptions!$E$45</f>
        <v>556.776363636364</v>
      </c>
      <c r="F43" s="30" t="n">
        <f aca="false">F17*Assumptions!$E$45</f>
        <v>332.9114</v>
      </c>
      <c r="G43" s="30" t="n">
        <f aca="false">G17*Assumptions!$E$45</f>
        <v>339.316061272727</v>
      </c>
      <c r="H43" s="30" t="n">
        <f aca="false">H17*Assumptions!$E$45</f>
        <v>647.621144267273</v>
      </c>
      <c r="I43" s="30" t="n">
        <f aca="false">I17*Assumptions!$E$45</f>
        <v>411.561638775582</v>
      </c>
      <c r="J43" s="30" t="n">
        <f aca="false">J17*Assumptions!$E$45</f>
        <v>409.451392854958</v>
      </c>
      <c r="K43" s="30" t="n">
        <f aca="false">K17*Assumptions!$E$45</f>
        <v>712.039154604522</v>
      </c>
      <c r="L43" s="30" t="n">
        <f aca="false">L17*Assumptions!$E$45</f>
        <v>472.40064887813</v>
      </c>
      <c r="M43" s="30" t="n">
        <f aca="false">M17*Assumptions!$E$45</f>
        <v>468.357682922457</v>
      </c>
      <c r="N43" s="30" t="n">
        <f aca="false">N17*Assumptions!$E$45</f>
        <v>770.29252659517</v>
      </c>
      <c r="O43" s="30" t="n">
        <f aca="false">O17*Assumptions!$E$45</f>
        <v>640.09966066845</v>
      </c>
      <c r="P43" s="30" t="n">
        <f aca="false">P17*Assumptions!$E$45</f>
        <v>656.854190803098</v>
      </c>
      <c r="Q43" s="30" t="n">
        <f aca="false">Q17*Assumptions!$E$45</f>
        <v>975.33594603128</v>
      </c>
      <c r="R43" s="30" t="n">
        <f aca="false">R17*Assumptions!$E$45</f>
        <v>749.468071537245</v>
      </c>
      <c r="S43" s="30" t="n">
        <f aca="false">S17*Assumptions!$E$45</f>
        <v>757.714223296637</v>
      </c>
      <c r="T43" s="30" t="n">
        <f aca="false">T17*Assumptions!$E$45</f>
        <v>1070.94471820389</v>
      </c>
      <c r="U43" s="30" t="n">
        <f aca="false">U17*Assumptions!$E$45</f>
        <v>842.336223337312</v>
      </c>
      <c r="V43" s="30" t="n">
        <f aca="false">V17*Assumptions!$E$45</f>
        <v>849.796604177531</v>
      </c>
      <c r="W43" s="30" t="n">
        <f aca="false">W17*Assumptions!$E$45</f>
        <v>1163.78364691726</v>
      </c>
      <c r="X43" s="30" t="n">
        <f aca="false">X17*Assumptions!$E$45</f>
        <v>937.169191508192</v>
      </c>
      <c r="Y43" s="30" t="n">
        <f aca="false">Y17*Assumptions!$E$45</f>
        <v>947.637328239697</v>
      </c>
      <c r="Z43" s="30" t="n">
        <f aca="false">Z17*Assumptions!$E$45</f>
        <v>1265.48314777393</v>
      </c>
      <c r="AA43" s="30" t="n">
        <f aca="false">AA17*Assumptions!$E$45</f>
        <v>1225.28009424753</v>
      </c>
      <c r="AB43" s="30" t="n">
        <f aca="false">AB17*Assumptions!$E$45</f>
        <v>1273.72150447139</v>
      </c>
      <c r="AC43" s="30" t="n">
        <f aca="false">AC17*Assumptions!$E$45</f>
        <v>1621.95642998461</v>
      </c>
      <c r="AD43" s="30" t="n">
        <f aca="false">AD17*Assumptions!$E$45</f>
        <v>1424.75072403557</v>
      </c>
      <c r="AE43" s="30" t="n">
        <f aca="false">AE17*Assumptions!$E$45</f>
        <v>1461.2216304848</v>
      </c>
      <c r="AF43" s="30" t="n">
        <f aca="false">AF17*Assumptions!$E$45</f>
        <v>1802.75250738739</v>
      </c>
      <c r="AG43" s="30" t="n">
        <f aca="false">AG17*Assumptions!$E$45</f>
        <v>1602.92902395394</v>
      </c>
      <c r="AH43" s="30" t="n">
        <f aca="false">AH17*Assumptions!$E$45</f>
        <v>1639.99147180184</v>
      </c>
      <c r="AI43" s="30" t="n">
        <f aca="false">AI17*Assumptions!$E$45</f>
        <v>1984.67417173613</v>
      </c>
      <c r="AJ43" s="30" t="n">
        <f aca="false">AJ17*Assumptions!$E$45</f>
        <v>1790.08521257812</v>
      </c>
      <c r="AK43" s="30" t="n">
        <f aca="false">AK17*Assumptions!$E$45</f>
        <v>1834.11645005435</v>
      </c>
      <c r="AL43" s="30" t="n">
        <f aca="false">AL17*Assumptions!$E$45</f>
        <v>2187.25121241695</v>
      </c>
    </row>
    <row r="44" customFormat="false" ht="15" hidden="false" customHeight="false" outlineLevel="0" collapsed="false">
      <c r="A44" s="3" t="s">
        <v>106</v>
      </c>
      <c r="C44" s="24" t="n">
        <f aca="false">Assumptions!$E$49</f>
        <v>4000</v>
      </c>
      <c r="D44" s="24" t="n">
        <f aca="false">Assumptions!$E$49</f>
        <v>4000</v>
      </c>
      <c r="E44" s="24" t="n">
        <f aca="false">Assumptions!$E$49</f>
        <v>4000</v>
      </c>
      <c r="F44" s="24" t="n">
        <f aca="false">Assumptions!$E$49</f>
        <v>4000</v>
      </c>
      <c r="G44" s="24" t="n">
        <f aca="false">Assumptions!$E$49</f>
        <v>4000</v>
      </c>
      <c r="H44" s="24" t="n">
        <f aca="false">Assumptions!$E$49</f>
        <v>4000</v>
      </c>
      <c r="I44" s="24" t="n">
        <f aca="false">Assumptions!$E$49</f>
        <v>4000</v>
      </c>
      <c r="J44" s="24" t="n">
        <f aca="false">Assumptions!$E$49</f>
        <v>4000</v>
      </c>
      <c r="K44" s="24" t="n">
        <f aca="false">Assumptions!$E$49</f>
        <v>4000</v>
      </c>
      <c r="L44" s="24" t="n">
        <f aca="false">Assumptions!$E$49</f>
        <v>4000</v>
      </c>
      <c r="M44" s="24" t="n">
        <f aca="false">Assumptions!$E$49</f>
        <v>4000</v>
      </c>
      <c r="N44" s="24" t="n">
        <f aca="false">Assumptions!$E$49</f>
        <v>4000</v>
      </c>
      <c r="O44" s="24" t="n">
        <f aca="false">Assumptions!$E$49</f>
        <v>4000</v>
      </c>
      <c r="P44" s="24" t="n">
        <f aca="false">Assumptions!$E$49</f>
        <v>4000</v>
      </c>
      <c r="Q44" s="24" t="n">
        <f aca="false">Assumptions!$E$49</f>
        <v>4000</v>
      </c>
      <c r="R44" s="24" t="n">
        <f aca="false">Assumptions!$E$49</f>
        <v>4000</v>
      </c>
      <c r="S44" s="24" t="n">
        <f aca="false">Assumptions!$E$49</f>
        <v>4000</v>
      </c>
      <c r="T44" s="24" t="n">
        <f aca="false">Assumptions!$E$49</f>
        <v>4000</v>
      </c>
      <c r="U44" s="24" t="n">
        <f aca="false">Assumptions!$E$49</f>
        <v>4000</v>
      </c>
      <c r="V44" s="24" t="n">
        <f aca="false">Assumptions!$E$49</f>
        <v>4000</v>
      </c>
      <c r="W44" s="24" t="n">
        <f aca="false">Assumptions!$E$49</f>
        <v>4000</v>
      </c>
      <c r="X44" s="24" t="n">
        <f aca="false">Assumptions!$E$49</f>
        <v>4000</v>
      </c>
      <c r="Y44" s="24" t="n">
        <f aca="false">Assumptions!$E$49</f>
        <v>4000</v>
      </c>
      <c r="Z44" s="24" t="n">
        <f aca="false">Assumptions!$E$49</f>
        <v>4000</v>
      </c>
      <c r="AA44" s="24" t="n">
        <f aca="false">Assumptions!$E$49</f>
        <v>4000</v>
      </c>
      <c r="AB44" s="24" t="n">
        <f aca="false">Assumptions!$E$49</f>
        <v>4000</v>
      </c>
      <c r="AC44" s="24" t="n">
        <f aca="false">Assumptions!$E$49</f>
        <v>4000</v>
      </c>
      <c r="AD44" s="24" t="n">
        <f aca="false">Assumptions!$E$49</f>
        <v>4000</v>
      </c>
      <c r="AE44" s="24" t="n">
        <f aca="false">Assumptions!$E$49</f>
        <v>4000</v>
      </c>
      <c r="AF44" s="24" t="n">
        <f aca="false">Assumptions!$E$49</f>
        <v>4000</v>
      </c>
      <c r="AG44" s="24" t="n">
        <f aca="false">Assumptions!$E$49</f>
        <v>4000</v>
      </c>
      <c r="AH44" s="24" t="n">
        <f aca="false">Assumptions!$E$49</f>
        <v>4000</v>
      </c>
      <c r="AI44" s="24" t="n">
        <f aca="false">Assumptions!$E$49</f>
        <v>4000</v>
      </c>
      <c r="AJ44" s="24" t="n">
        <f aca="false">Assumptions!$E$49</f>
        <v>4000</v>
      </c>
      <c r="AK44" s="24" t="n">
        <f aca="false">Assumptions!$E$49</f>
        <v>4000</v>
      </c>
      <c r="AL44" s="24" t="n">
        <f aca="false">Assumptions!$E$49</f>
        <v>4000</v>
      </c>
    </row>
    <row r="45" customFormat="false" ht="15" hidden="false" customHeight="false" outlineLevel="0" collapsed="false">
      <c r="A45" s="1" t="s">
        <v>134</v>
      </c>
      <c r="C45" s="32" t="n">
        <f aca="false">SUM(C41:C44)</f>
        <v>39292.7272727273</v>
      </c>
      <c r="D45" s="32" t="n">
        <f aca="false">SUM(D41:D44)</f>
        <v>39231.4181818182</v>
      </c>
      <c r="E45" s="32" t="n">
        <f aca="false">SUM(E41:E44)</f>
        <v>39556.7763636364</v>
      </c>
      <c r="F45" s="32" t="n">
        <f aca="false">SUM(F41:F44)</f>
        <v>39332.9114</v>
      </c>
      <c r="G45" s="32" t="n">
        <f aca="false">SUM(G41:G44)</f>
        <v>39339.3160612727</v>
      </c>
      <c r="H45" s="32" t="n">
        <f aca="false">SUM(H41:H44)</f>
        <v>39647.6211442673</v>
      </c>
      <c r="I45" s="32" t="n">
        <f aca="false">SUM(I41:I44)</f>
        <v>39411.5616387756</v>
      </c>
      <c r="J45" s="32" t="n">
        <f aca="false">SUM(J41:J44)</f>
        <v>39409.451392855</v>
      </c>
      <c r="K45" s="32" t="n">
        <f aca="false">SUM(K41:K44)</f>
        <v>39712.0391546045</v>
      </c>
      <c r="L45" s="32" t="n">
        <f aca="false">SUM(L41:L44)</f>
        <v>39472.4006488781</v>
      </c>
      <c r="M45" s="32" t="n">
        <f aca="false">SUM(M41:M44)</f>
        <v>39468.3576829225</v>
      </c>
      <c r="N45" s="32" t="n">
        <f aca="false">SUM(N41:N44)</f>
        <v>39770.2925265952</v>
      </c>
      <c r="O45" s="32" t="n">
        <f aca="false">SUM(O41:O44)</f>
        <v>74640.0996606685</v>
      </c>
      <c r="P45" s="32" t="n">
        <f aca="false">SUM(P41:P44)</f>
        <v>74656.8541908031</v>
      </c>
      <c r="Q45" s="32" t="n">
        <f aca="false">SUM(Q41:Q44)</f>
        <v>74975.3359460313</v>
      </c>
      <c r="R45" s="32" t="n">
        <f aca="false">SUM(R41:R44)</f>
        <v>74749.4680715372</v>
      </c>
      <c r="S45" s="32" t="n">
        <f aca="false">SUM(S41:S44)</f>
        <v>74757.7142232966</v>
      </c>
      <c r="T45" s="32" t="n">
        <f aca="false">SUM(T41:T44)</f>
        <v>75070.9447182039</v>
      </c>
      <c r="U45" s="32" t="n">
        <f aca="false">SUM(U41:U44)</f>
        <v>74842.3362233373</v>
      </c>
      <c r="V45" s="32" t="n">
        <f aca="false">SUM(V41:V44)</f>
        <v>74849.7966041775</v>
      </c>
      <c r="W45" s="32" t="n">
        <f aca="false">SUM(W41:W44)</f>
        <v>75163.7836469173</v>
      </c>
      <c r="X45" s="32" t="n">
        <f aca="false">SUM(X41:X44)</f>
        <v>74937.1691915082</v>
      </c>
      <c r="Y45" s="32" t="n">
        <f aca="false">SUM(Y41:Y44)</f>
        <v>74947.6373282397</v>
      </c>
      <c r="Z45" s="32" t="n">
        <f aca="false">SUM(Z41:Z44)</f>
        <v>75265.4831477739</v>
      </c>
      <c r="AA45" s="32" t="n">
        <f aca="false">SUM(AA41:AA44)</f>
        <v>125225.280094248</v>
      </c>
      <c r="AB45" s="32" t="n">
        <f aca="false">SUM(AB41:AB44)</f>
        <v>125273.721504471</v>
      </c>
      <c r="AC45" s="32" t="n">
        <f aca="false">SUM(AC41:AC44)</f>
        <v>125621.956429985</v>
      </c>
      <c r="AD45" s="32" t="n">
        <f aca="false">SUM(AD41:AD44)</f>
        <v>125424.750724036</v>
      </c>
      <c r="AE45" s="32" t="n">
        <f aca="false">SUM(AE41:AE44)</f>
        <v>125461.221630485</v>
      </c>
      <c r="AF45" s="32" t="n">
        <f aca="false">SUM(AF41:AF44)</f>
        <v>125802.752507387</v>
      </c>
      <c r="AG45" s="32" t="n">
        <f aca="false">SUM(AG41:AG44)</f>
        <v>125602.929023954</v>
      </c>
      <c r="AH45" s="32" t="n">
        <f aca="false">SUM(AH41:AH44)</f>
        <v>125639.991471802</v>
      </c>
      <c r="AI45" s="32" t="n">
        <f aca="false">SUM(AI41:AI44)</f>
        <v>125984.674171736</v>
      </c>
      <c r="AJ45" s="32" t="n">
        <f aca="false">SUM(AJ41:AJ44)</f>
        <v>125790.085212578</v>
      </c>
      <c r="AK45" s="32" t="n">
        <f aca="false">SUM(AK41:AK44)</f>
        <v>125834.116450054</v>
      </c>
      <c r="AL45" s="32" t="n">
        <f aca="false">SUM(AL41:AL44)</f>
        <v>126187.251212417</v>
      </c>
    </row>
    <row r="46" customFormat="false" ht="15" hidden="false" customHeight="false" outlineLevel="0" collapsed="false">
      <c r="A46" s="9" t="s">
        <v>135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</row>
    <row r="47" customFormat="false" ht="15" hidden="false" customHeight="false" outlineLevel="0" collapsed="false">
      <c r="A47" s="1" t="s">
        <v>136</v>
      </c>
      <c r="C47" s="32" t="n">
        <f aca="false">C38-C45</f>
        <v>-39403.1386363636</v>
      </c>
      <c r="D47" s="32" t="n">
        <f aca="false">D38-D45</f>
        <v>-39784.7110909091</v>
      </c>
      <c r="E47" s="32" t="n">
        <f aca="false">E38-E45</f>
        <v>-40259.7631068182</v>
      </c>
      <c r="F47" s="32" t="n">
        <f aca="false">F38-F45</f>
        <v>-41653.04267425</v>
      </c>
      <c r="G47" s="32" t="n">
        <f aca="false">G38-G45</f>
        <v>-41613.1816636539</v>
      </c>
      <c r="H47" s="32" t="n">
        <f aca="false">H38-H45</f>
        <v>-42194.3679033666</v>
      </c>
      <c r="I47" s="32" t="n">
        <f aca="false">I38-I45</f>
        <v>-38663.5432506705</v>
      </c>
      <c r="J47" s="32" t="n">
        <f aca="false">J38-J45</f>
        <v>-38426.676893719</v>
      </c>
      <c r="K47" s="32" t="n">
        <f aca="false">K38-K45</f>
        <v>-38780.9463115301</v>
      </c>
      <c r="L47" s="32" t="n">
        <f aca="false">L38-L45</f>
        <v>-39996.7714615447</v>
      </c>
      <c r="M47" s="32" t="n">
        <f aca="false">M38-M45</f>
        <v>-39732.5276209114</v>
      </c>
      <c r="N47" s="32" t="n">
        <f aca="false">N38-N45</f>
        <v>-40049.4840751033</v>
      </c>
      <c r="O47" s="32" t="n">
        <f aca="false">O38-O45</f>
        <v>-75540.7015337897</v>
      </c>
      <c r="P47" s="32" t="n">
        <f aca="false">P38-P45</f>
        <v>-75101.401616708</v>
      </c>
      <c r="Q47" s="32" t="n">
        <f aca="false">Q38-Q45</f>
        <v>-72767.4756869425</v>
      </c>
      <c r="R47" s="32" t="n">
        <f aca="false">R38-R45</f>
        <v>-73803.8570098775</v>
      </c>
      <c r="S47" s="32" t="n">
        <f aca="false">S38-S45</f>
        <v>-73364.7029688704</v>
      </c>
      <c r="T47" s="32" t="n">
        <f aca="false">T38-T45</f>
        <v>-71008.011019497</v>
      </c>
      <c r="U47" s="32" t="n">
        <f aca="false">U38-U45</f>
        <v>-72003.2282998938</v>
      </c>
      <c r="V47" s="32" t="n">
        <f aca="false">V38-V45</f>
        <v>-71507.8326731339</v>
      </c>
      <c r="W47" s="32" t="n">
        <f aca="false">W38-W45</f>
        <v>-69082.2435303017</v>
      </c>
      <c r="X47" s="32" t="n">
        <f aca="false">X38-X45</f>
        <v>-69997.6523472941</v>
      </c>
      <c r="Y47" s="32" t="n">
        <f aca="false">Y38-Y45</f>
        <v>-69412.7692364585</v>
      </c>
      <c r="Z47" s="32" t="n">
        <f aca="false">Z38-Z45</f>
        <v>-66888.8576700368</v>
      </c>
      <c r="AA47" s="32" t="n">
        <f aca="false">AA38-AA45</f>
        <v>-116566.066844972</v>
      </c>
      <c r="AB47" s="32" t="n">
        <f aca="false">AB38-AB45</f>
        <v>-115662.924809668</v>
      </c>
      <c r="AC47" s="32" t="n">
        <f aca="false">AC38-AC45</f>
        <v>-112863.860143161</v>
      </c>
      <c r="AD47" s="32" t="n">
        <f aca="false">AD38-AD45</f>
        <v>-113427.894729275</v>
      </c>
      <c r="AE47" s="32" t="n">
        <f aca="false">AE38-AE45</f>
        <v>-112504.418277662</v>
      </c>
      <c r="AF47" s="32" t="n">
        <f aca="false">AF38-AF45</f>
        <v>-109647.500302559</v>
      </c>
      <c r="AG47" s="32" t="n">
        <f aca="false">AG38-AG45</f>
        <v>-110123.270768598</v>
      </c>
      <c r="AH47" s="32" t="n">
        <f aca="false">AH38-AH45</f>
        <v>-109086.328372876</v>
      </c>
      <c r="AI47" s="32" t="n">
        <f aca="false">AI38-AI45</f>
        <v>-106094.520683935</v>
      </c>
      <c r="AJ47" s="32" t="n">
        <f aca="false">AJ38-AJ45</f>
        <v>-106416.675546509</v>
      </c>
      <c r="AK47" s="32" t="n">
        <f aca="false">AK38-AK45</f>
        <v>-105209.272051681</v>
      </c>
      <c r="AL47" s="32" t="n">
        <f aca="false">AL38-AL45</f>
        <v>-102031.417289812</v>
      </c>
    </row>
    <row r="48" customFormat="false" ht="15" hidden="false" customHeight="false" outlineLevel="0" collapsed="false">
      <c r="A48" s="1" t="s">
        <v>172</v>
      </c>
      <c r="C48" s="32" t="n">
        <f aca="false">Assumptions!$E$50+C47</f>
        <v>460596.861363636</v>
      </c>
      <c r="D48" s="32" t="n">
        <f aca="false">C48+D47</f>
        <v>420812.150272727</v>
      </c>
      <c r="E48" s="32" t="n">
        <f aca="false">D48+E47</f>
        <v>380552.387165909</v>
      </c>
      <c r="F48" s="32" t="n">
        <f aca="false">E48+F47</f>
        <v>338899.344491659</v>
      </c>
      <c r="G48" s="32" t="n">
        <f aca="false">F48+G47</f>
        <v>297286.162828005</v>
      </c>
      <c r="H48" s="32" t="n">
        <f aca="false">G48+H47</f>
        <v>255091.794924639</v>
      </c>
      <c r="I48" s="32" t="n">
        <f aca="false">H48+I47</f>
        <v>216428.251673968</v>
      </c>
      <c r="J48" s="32" t="n">
        <f aca="false">I48+J47</f>
        <v>178001.574780249</v>
      </c>
      <c r="K48" s="32" t="n">
        <f aca="false">J48+K47</f>
        <v>139220.628468719</v>
      </c>
      <c r="L48" s="32" t="n">
        <f aca="false">K48+L47</f>
        <v>99223.8570071744</v>
      </c>
      <c r="M48" s="32" t="n">
        <f aca="false">L48+M47</f>
        <v>59491.329386263</v>
      </c>
      <c r="N48" s="32" t="n">
        <f aca="false">M48+N47</f>
        <v>19441.8453111597</v>
      </c>
      <c r="O48" s="32" t="n">
        <f aca="false">N48+O47</f>
        <v>-56098.85622263</v>
      </c>
      <c r="P48" s="32" t="n">
        <f aca="false">O48+P47</f>
        <v>-131200.257839338</v>
      </c>
      <c r="Q48" s="32" t="n">
        <f aca="false">P48+Q47</f>
        <v>-203967.733526281</v>
      </c>
      <c r="R48" s="32" t="n">
        <f aca="false">Q48+R47</f>
        <v>-277771.590536158</v>
      </c>
      <c r="S48" s="32" t="n">
        <f aca="false">R48+S47</f>
        <v>-351136.293505028</v>
      </c>
      <c r="T48" s="32" t="n">
        <f aca="false">S48+T47</f>
        <v>-422144.304524525</v>
      </c>
      <c r="U48" s="32" t="n">
        <f aca="false">T48+U47</f>
        <v>-494147.532824419</v>
      </c>
      <c r="V48" s="32" t="n">
        <f aca="false">U48+V47</f>
        <v>-565655.365497553</v>
      </c>
      <c r="W48" s="32" t="n">
        <f aca="false">V48+W47</f>
        <v>-634737.609027855</v>
      </c>
      <c r="X48" s="32" t="n">
        <f aca="false">W48+X47</f>
        <v>-704735.261375149</v>
      </c>
      <c r="Y48" s="32" t="n">
        <f aca="false">X48+Y47</f>
        <v>-774148.030611607</v>
      </c>
      <c r="Z48" s="32" t="n">
        <f aca="false">Y48+Z47</f>
        <v>-841036.888281644</v>
      </c>
      <c r="AA48" s="32" t="n">
        <f aca="false">Z48+AA47</f>
        <v>-957602.955126616</v>
      </c>
      <c r="AB48" s="32" t="n">
        <f aca="false">AA48+AB47</f>
        <v>-1073265.87993628</v>
      </c>
      <c r="AC48" s="32" t="n">
        <f aca="false">AB48+AC47</f>
        <v>-1186129.74007944</v>
      </c>
      <c r="AD48" s="32" t="n">
        <f aca="false">AC48+AD47</f>
        <v>-1299557.63480872</v>
      </c>
      <c r="AE48" s="32" t="n">
        <f aca="false">AD48+AE47</f>
        <v>-1412062.05308638</v>
      </c>
      <c r="AF48" s="32" t="n">
        <f aca="false">AE48+AF47</f>
        <v>-1521709.55338894</v>
      </c>
      <c r="AG48" s="32" t="n">
        <f aca="false">AF48+AG47</f>
        <v>-1631832.82415754</v>
      </c>
      <c r="AH48" s="32" t="n">
        <f aca="false">AG48+AH47</f>
        <v>-1740919.15253042</v>
      </c>
      <c r="AI48" s="32" t="n">
        <f aca="false">AH48+AI47</f>
        <v>-1847013.67321435</v>
      </c>
      <c r="AJ48" s="32" t="n">
        <f aca="false">AI48+AJ47</f>
        <v>-1953430.34876086</v>
      </c>
      <c r="AK48" s="32" t="n">
        <f aca="false">AJ48+AK47</f>
        <v>-2058639.62081254</v>
      </c>
      <c r="AL48" s="32" t="n">
        <f aca="false">AK48+AL47</f>
        <v>-2160671.03810235</v>
      </c>
    </row>
    <row r="49" customFormat="false" ht="15" hidden="false" customHeight="false" outlineLevel="0" collapsed="false">
      <c r="A49" s="9" t="s">
        <v>173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</row>
    <row r="50" customFormat="false" ht="15" hidden="false" customHeight="false" outlineLevel="0" collapsed="false">
      <c r="A50" s="3" t="s">
        <v>174</v>
      </c>
      <c r="C50" s="33" t="n">
        <f aca="false">IFERROR(C26/C17,0)</f>
        <v>0.3475</v>
      </c>
      <c r="D50" s="33" t="n">
        <f aca="false">IFERROR(D26/D17,0)</f>
        <v>0.3475</v>
      </c>
      <c r="E50" s="33" t="n">
        <f aca="false">IFERROR(E26/E17,0)</f>
        <v>0.3475</v>
      </c>
      <c r="F50" s="33" t="n">
        <f aca="false">IFERROR(F26/F17,0)</f>
        <v>0.3475</v>
      </c>
      <c r="G50" s="33" t="n">
        <f aca="false">IFERROR(G26/G17,0)</f>
        <v>0.3475</v>
      </c>
      <c r="H50" s="33" t="n">
        <f aca="false">IFERROR(H26/H17,0)</f>
        <v>0.3475</v>
      </c>
      <c r="I50" s="33" t="n">
        <f aca="false">IFERROR(I26/I17,0)</f>
        <v>0.590476970102232</v>
      </c>
      <c r="J50" s="33" t="n">
        <f aca="false">IFERROR(J26/J17,0)</f>
        <v>0.603940695604606</v>
      </c>
      <c r="K50" s="33" t="n">
        <f aca="false">IFERROR(K26/K17,0)</f>
        <v>0.502336990756828</v>
      </c>
      <c r="L50" s="33" t="n">
        <f aca="false">IFERROR(L26/L17,0)</f>
        <v>0.592551526230787</v>
      </c>
      <c r="M50" s="33" t="n">
        <f aca="false">IFERROR(M26/M17,0)</f>
        <v>0.607025207831649</v>
      </c>
      <c r="N50" s="33" t="n">
        <f aca="false">IFERROR(N26/N17,0)</f>
        <v>0.51318790666338</v>
      </c>
      <c r="O50" s="33" t="n">
        <f aca="false">IFERROR(O26/O17,0)</f>
        <v>0.556857342765274</v>
      </c>
      <c r="P50" s="33" t="n">
        <f aca="false">IFERROR(P26/P17,0)</f>
        <v>0.561718077977986</v>
      </c>
      <c r="Q50" s="33" t="n">
        <f aca="false">IFERROR(Q26/Q17,0)</f>
        <v>0.498981697132249</v>
      </c>
      <c r="R50" s="33" t="n">
        <f aca="false">IFERROR(R26/R17,0)</f>
        <v>0.554490567696442</v>
      </c>
      <c r="S50" s="33" t="n">
        <f aca="false">IFERROR(S26/S17,0)</f>
        <v>0.562474798769186</v>
      </c>
      <c r="T50" s="33" t="n">
        <f aca="false">IFERROR(T26/T17,0)</f>
        <v>0.507203795074013</v>
      </c>
      <c r="U50" s="33" t="n">
        <f aca="false">IFERROR(U26/U17,0)</f>
        <v>0.560699465518294</v>
      </c>
      <c r="V50" s="33" t="n">
        <f aca="false">IFERROR(V26/V17,0)</f>
        <v>0.569394172447094</v>
      </c>
      <c r="W50" s="33" t="n">
        <f aca="false">IFERROR(W26/W17,0)</f>
        <v>0.517628838352733</v>
      </c>
      <c r="X50" s="33" t="n">
        <f aca="false">IFERROR(X26/X17,0)</f>
        <v>0.569330614818413</v>
      </c>
      <c r="Y50" s="33" t="n">
        <f aca="false">IFERROR(Y26/Y17,0)</f>
        <v>0.577849156088731</v>
      </c>
      <c r="Z50" s="33" t="n">
        <f aca="false">IFERROR(Z26/Z17,0)</f>
        <v>0.528618043478718</v>
      </c>
      <c r="AA50" s="33" t="n">
        <f aca="false">IFERROR(AA26/AA17,0)</f>
        <v>0.543913803259331</v>
      </c>
      <c r="AB50" s="33" t="n">
        <f aca="false">IFERROR(AB26/AB17,0)</f>
        <v>0.545891107200813</v>
      </c>
      <c r="AC50" s="33" t="n">
        <f aca="false">IFERROR(AC26/AC17,0)</f>
        <v>0.511086250289695</v>
      </c>
      <c r="AD50" s="33" t="n">
        <f aca="false">IFERROR(AD26/AD17,0)</f>
        <v>0.543040352666779</v>
      </c>
      <c r="AE50" s="33" t="n">
        <f aca="false">IFERROR(AE26/AE17,0)</f>
        <v>0.547692815305588</v>
      </c>
      <c r="AF50" s="33" t="n">
        <f aca="false">IFERROR(AF26/AF17,0)</f>
        <v>0.517879669052252</v>
      </c>
      <c r="AG50" s="33" t="n">
        <f aca="false">IFERROR(AG26/AG17,0)</f>
        <v>0.548700420949292</v>
      </c>
      <c r="AH50" s="33" t="n">
        <f aca="false">IFERROR(AH26/AH17,0)</f>
        <v>0.553986131124745</v>
      </c>
      <c r="AI50" s="33" t="n">
        <f aca="false">IFERROR(AI26/AI17,0)</f>
        <v>0.526656495236393</v>
      </c>
      <c r="AJ50" s="33" t="n">
        <f aca="false">IFERROR(AJ26/AJ17,0)</f>
        <v>0.556063050301085</v>
      </c>
      <c r="AK50" s="33" t="n">
        <f aca="false">IFERROR(AK26/AK17,0)</f>
        <v>0.561233928308777</v>
      </c>
      <c r="AL50" s="33" t="n">
        <f aca="false">IFERROR(AL26/AL17,0)</f>
        <v>0.535687601497918</v>
      </c>
    </row>
    <row r="51" customFormat="false" ht="15" hidden="false" customHeight="false" outlineLevel="0" collapsed="false">
      <c r="A51" s="3" t="s">
        <v>175</v>
      </c>
      <c r="C51" s="33" t="n">
        <f aca="false">IFERROR(C9/(C10*Assumptions!$E$19),0)</f>
        <v>6.875</v>
      </c>
      <c r="D51" s="33" t="n">
        <f aca="false">IFERROR(D9/(D10*Assumptions!$E$19),0)</f>
        <v>6.875</v>
      </c>
      <c r="E51" s="33" t="n">
        <f aca="false">IFERROR(E9/(E10*Assumptions!$E$19),0)</f>
        <v>6.875</v>
      </c>
      <c r="F51" s="33" t="n">
        <f aca="false">IFERROR(F9/(F10*Assumptions!$E$19),0)</f>
        <v>6.875</v>
      </c>
      <c r="G51" s="33" t="n">
        <f aca="false">IFERROR(G9/(G10*Assumptions!$E$19),0)</f>
        <v>6.875</v>
      </c>
      <c r="H51" s="33" t="n">
        <f aca="false">IFERROR(H9/(H10*Assumptions!$E$19),0)</f>
        <v>6.875</v>
      </c>
      <c r="I51" s="33" t="n">
        <f aca="false">IFERROR(I9/(I10*Assumptions!$E$19),0)</f>
        <v>6.875</v>
      </c>
      <c r="J51" s="33" t="n">
        <f aca="false">IFERROR(J9/(J10*Assumptions!$E$19),0)</f>
        <v>6.875</v>
      </c>
      <c r="K51" s="33" t="n">
        <f aca="false">IFERROR(K9/(K10*Assumptions!$E$19),0)</f>
        <v>6.875</v>
      </c>
      <c r="L51" s="33" t="n">
        <f aca="false">IFERROR(L9/(L10*Assumptions!$E$19),0)</f>
        <v>6.875</v>
      </c>
      <c r="M51" s="33" t="n">
        <f aca="false">IFERROR(M9/(M10*Assumptions!$E$19),0)</f>
        <v>6.875</v>
      </c>
      <c r="N51" s="33" t="n">
        <f aca="false">IFERROR(N9/(N10*Assumptions!$E$19),0)</f>
        <v>6.875</v>
      </c>
      <c r="O51" s="33" t="n">
        <f aca="false">IFERROR(O9/(O10*Assumptions!$E$19),0)</f>
        <v>6.875</v>
      </c>
      <c r="P51" s="33" t="n">
        <f aca="false">IFERROR(P9/(P10*Assumptions!$E$19),0)</f>
        <v>6.875</v>
      </c>
      <c r="Q51" s="33" t="n">
        <f aca="false">IFERROR(Q9/(Q10*Assumptions!$E$19),0)</f>
        <v>6.875</v>
      </c>
      <c r="R51" s="33" t="n">
        <f aca="false">IFERROR(R9/(R10*Assumptions!$E$19),0)</f>
        <v>6.875</v>
      </c>
      <c r="S51" s="33" t="n">
        <f aca="false">IFERROR(S9/(S10*Assumptions!$E$19),0)</f>
        <v>6.875</v>
      </c>
      <c r="T51" s="33" t="n">
        <f aca="false">IFERROR(T9/(T10*Assumptions!$E$19),0)</f>
        <v>6.875</v>
      </c>
      <c r="U51" s="33" t="n">
        <f aca="false">IFERROR(U9/(U10*Assumptions!$E$19),0)</f>
        <v>6.875</v>
      </c>
      <c r="V51" s="33" t="n">
        <f aca="false">IFERROR(V9/(V10*Assumptions!$E$19),0)</f>
        <v>6.875</v>
      </c>
      <c r="W51" s="33" t="n">
        <f aca="false">IFERROR(W9/(W10*Assumptions!$E$19),0)</f>
        <v>6.875</v>
      </c>
      <c r="X51" s="33" t="n">
        <f aca="false">IFERROR(X9/(X10*Assumptions!$E$19),0)</f>
        <v>6.875</v>
      </c>
      <c r="Y51" s="33" t="n">
        <f aca="false">IFERROR(Y9/(Y10*Assumptions!$E$19),0)</f>
        <v>6.875</v>
      </c>
      <c r="Z51" s="33" t="n">
        <f aca="false">IFERROR(Z9/(Z10*Assumptions!$E$19),0)</f>
        <v>6.875</v>
      </c>
      <c r="AA51" s="33" t="n">
        <f aca="false">IFERROR(AA9/(AA10*Assumptions!$E$19),0)</f>
        <v>6.875</v>
      </c>
      <c r="AB51" s="33" t="n">
        <f aca="false">IFERROR(AB9/(AB10*Assumptions!$E$19),0)</f>
        <v>6.875</v>
      </c>
      <c r="AC51" s="33" t="n">
        <f aca="false">IFERROR(AC9/(AC10*Assumptions!$E$19),0)</f>
        <v>6.875</v>
      </c>
      <c r="AD51" s="33" t="n">
        <f aca="false">IFERROR(AD9/(AD10*Assumptions!$E$19),0)</f>
        <v>6.875</v>
      </c>
      <c r="AE51" s="33" t="n">
        <f aca="false">IFERROR(AE9/(AE10*Assumptions!$E$19),0)</f>
        <v>6.875</v>
      </c>
      <c r="AF51" s="33" t="n">
        <f aca="false">IFERROR(AF9/(AF10*Assumptions!$E$19),0)</f>
        <v>6.875</v>
      </c>
      <c r="AG51" s="33" t="n">
        <f aca="false">IFERROR(AG9/(AG10*Assumptions!$E$19),0)</f>
        <v>6.875</v>
      </c>
      <c r="AH51" s="33" t="n">
        <f aca="false">IFERROR(AH9/(AH10*Assumptions!$E$19),0)</f>
        <v>6.875</v>
      </c>
      <c r="AI51" s="33" t="n">
        <f aca="false">IFERROR(AI9/(AI10*Assumptions!$E$19),0)</f>
        <v>6.875</v>
      </c>
      <c r="AJ51" s="33" t="n">
        <f aca="false">IFERROR(AJ9/(AJ10*Assumptions!$E$19),0)</f>
        <v>6.875</v>
      </c>
      <c r="AK51" s="33" t="n">
        <f aca="false">IFERROR(AK9/(AK10*Assumptions!$E$19),0)</f>
        <v>6.875</v>
      </c>
      <c r="AL51" s="33" t="n">
        <f aca="false">IFERROR(AL9/(AL10*Assumptions!$E$19),0)</f>
        <v>6.875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2026-10-30T20:40:27Z</dcterms:created>
  <dc:creator>openpyxl</dc:creator>
  <dc:description/>
  <dc:language>en-US</dc:language>
  <cp:lastModifiedBy/>
  <dcterms:modified xsi:type="dcterms:W3CDTF">2026-10-30T20:40:27Z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